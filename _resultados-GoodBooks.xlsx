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"/>
    </mc:Choice>
  </mc:AlternateContent>
  <xr:revisionPtr revIDLastSave="0" documentId="13_ncr:1_{CB45283D-5504-44A9-8F31-10C473B49B1A}" xr6:coauthVersionLast="47" xr6:coauthVersionMax="47" xr10:uidLastSave="{00000000-0000-0000-0000-000000000000}"/>
  <bookViews>
    <workbookView xWindow="-108" yWindow="-108" windowWidth="23256" windowHeight="12456" tabRatio="734" activeTab="1" xr2:uid="{00000000-000D-0000-FFFF-FFFF00000000}"/>
  </bookViews>
  <sheets>
    <sheet name="capa" sheetId="19" r:id="rId1"/>
    <sheet name="Activity-05-0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1" l="1"/>
  <c r="F42" i="21"/>
  <c r="F22" i="21"/>
  <c r="F2" i="21"/>
  <c r="E62" i="21"/>
  <c r="E42" i="21"/>
  <c r="E22" i="21"/>
  <c r="E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Vargas</author>
  </authors>
  <commentList>
    <comment ref="D12" authorId="0" shapeId="0" xr:uid="{B9BDC6F8-C697-4F46-900C-EAE4DC4AAA56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  <comment ref="D15" authorId="0" shapeId="0" xr:uid="{FA12611E-7015-4E16-A9ED-28719A83CF63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</commentList>
</comments>
</file>

<file path=xl/sharedStrings.xml><?xml version="1.0" encoding="utf-8"?>
<sst xmlns="http://schemas.openxmlformats.org/spreadsheetml/2006/main" count="51" uniqueCount="21">
  <si>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</si>
  <si>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</si>
  <si>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</si>
  <si>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</si>
  <si>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</si>
  <si>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Activity</t>
  </si>
  <si>
    <t>Batch-Size</t>
  </si>
  <si>
    <t>FedAvg Example</t>
  </si>
  <si>
    <t>FedAvg Loss</t>
  </si>
  <si>
    <t>16-08</t>
  </si>
  <si>
    <t>32-16</t>
  </si>
  <si>
    <t>64-08</t>
  </si>
  <si>
    <t>FedDEEV ACTIVITY</t>
  </si>
  <si>
    <t>FedDEEV AGE</t>
  </si>
  <si>
    <t>FedDEEV GENDER</t>
  </si>
  <si>
    <t>FedFair ACTIVITY</t>
  </si>
  <si>
    <t>FedFair AGE</t>
  </si>
  <si>
    <t>FedFair GENDER</t>
  </si>
  <si>
    <t>FedFair</t>
  </si>
  <si>
    <t>FedDEEV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</si>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</sst>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4" fontId="1" fillId="3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ont="1" applyFill="1" applyBorder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4F6-8B6A-4DFD-8AB9-B21C335488C7}">
  <dimension ref="A1:E25"/>
  <sheetViews>
    <sheetView topLeftCell="A11" zoomScale="130" zoomScaleNormal="130" workbookViewId="0">
      <selection activeCell="A20" sqref="A20:A22"/>
    </sheetView>
  </sheetViews>
  <sheetFormatPr defaultRowHeight="14.4" x14ac:dyDescent="0.3"/>
  <cols>
    <col min="1" max="1" width="16.5546875" bestFit="1" customWidth="1"/>
    <col min="2" max="2" width="9.6640625" bestFit="1" customWidth="1"/>
    <col min="4" max="4" width="8.88671875" style="7"/>
    <col min="5" max="5" width="8.88671875" style="4"/>
    <col min="6" max="6" width="22.109375" bestFit="1" customWidth="1"/>
  </cols>
  <sheetData>
    <row r="1" spans="1:5" x14ac:dyDescent="0.3">
      <c r="A1" s="2" t="s">
        <v>0</v>
      </c>
      <c r="B1" s="2" t="s">
        <v>6</v>
      </c>
      <c r="C1" s="2" t="s">
        <v>3</v>
      </c>
    </row>
    <row r="2" spans="1:5" x14ac:dyDescent="0.3">
      <c r="A2" s="12" t="s">
        <v>7</v>
      </c>
      <c r="B2" s="6" t="s">
        <v>9</v>
      </c>
      <c r="C2" s="5">
        <v>20</v>
      </c>
    </row>
    <row r="3" spans="1:5" x14ac:dyDescent="0.3">
      <c r="A3" s="13"/>
      <c r="B3" s="6" t="s">
        <v>10</v>
      </c>
      <c r="C3" s="5">
        <v>15</v>
      </c>
    </row>
    <row r="4" spans="1:5" x14ac:dyDescent="0.3">
      <c r="A4" s="14"/>
      <c r="B4" s="6" t="s">
        <v>11</v>
      </c>
      <c r="C4" s="5">
        <v>20</v>
      </c>
    </row>
    <row r="5" spans="1:5" x14ac:dyDescent="0.3">
      <c r="A5" s="12" t="s">
        <v>8</v>
      </c>
      <c r="B5" s="6" t="s">
        <v>9</v>
      </c>
      <c r="C5" s="5">
        <v>20</v>
      </c>
    </row>
    <row r="6" spans="1:5" x14ac:dyDescent="0.3">
      <c r="A6" s="13"/>
      <c r="B6" s="6" t="s">
        <v>10</v>
      </c>
      <c r="C6" s="5">
        <v>15</v>
      </c>
    </row>
    <row r="7" spans="1:5" x14ac:dyDescent="0.3">
      <c r="A7" s="14"/>
      <c r="B7" s="6" t="s">
        <v>11</v>
      </c>
      <c r="C7" s="5">
        <v>20</v>
      </c>
      <c r="E7" s="7"/>
    </row>
    <row r="8" spans="1:5" x14ac:dyDescent="0.3">
      <c r="A8" s="12" t="s">
        <v>15</v>
      </c>
      <c r="B8" s="6" t="s">
        <v>9</v>
      </c>
      <c r="C8" s="5">
        <v>20</v>
      </c>
      <c r="E8" s="7"/>
    </row>
    <row r="9" spans="1:5" x14ac:dyDescent="0.3">
      <c r="A9" s="13"/>
      <c r="B9" s="6" t="s">
        <v>10</v>
      </c>
      <c r="C9" s="5">
        <v>20</v>
      </c>
      <c r="D9" s="4"/>
    </row>
    <row r="10" spans="1:5" x14ac:dyDescent="0.3">
      <c r="A10" s="14"/>
      <c r="B10" s="6" t="s">
        <v>11</v>
      </c>
      <c r="C10" s="5">
        <v>20</v>
      </c>
      <c r="E10" s="7"/>
    </row>
    <row r="11" spans="1:5" x14ac:dyDescent="0.3">
      <c r="A11" s="12" t="s">
        <v>16</v>
      </c>
      <c r="B11" s="6" t="s">
        <v>9</v>
      </c>
      <c r="C11" s="5">
        <v>20</v>
      </c>
    </row>
    <row r="12" spans="1:5" x14ac:dyDescent="0.3">
      <c r="A12" s="13"/>
      <c r="B12" s="6" t="s">
        <v>10</v>
      </c>
      <c r="C12" s="9">
        <v>10</v>
      </c>
      <c r="D12" s="8" t="s">
        <v>20</v>
      </c>
    </row>
    <row r="13" spans="1:5" x14ac:dyDescent="0.3">
      <c r="A13" s="14"/>
      <c r="B13" s="6" t="s">
        <v>11</v>
      </c>
      <c r="C13" s="5">
        <v>20</v>
      </c>
      <c r="E13" s="7"/>
    </row>
    <row r="14" spans="1:5" x14ac:dyDescent="0.3">
      <c r="A14" s="12" t="s">
        <v>17</v>
      </c>
      <c r="B14" s="6" t="s">
        <v>9</v>
      </c>
      <c r="C14" s="5">
        <v>20</v>
      </c>
    </row>
    <row r="15" spans="1:5" x14ac:dyDescent="0.3">
      <c r="A15" s="13"/>
      <c r="B15" s="6" t="s">
        <v>10</v>
      </c>
      <c r="C15" s="9">
        <v>10</v>
      </c>
      <c r="D15" s="8" t="s">
        <v>20</v>
      </c>
    </row>
    <row r="16" spans="1:5" x14ac:dyDescent="0.3">
      <c r="A16" s="14"/>
      <c r="B16" s="6" t="s">
        <v>11</v>
      </c>
      <c r="C16" s="5">
        <v>20</v>
      </c>
      <c r="D16" s="10"/>
      <c r="E16" s="7"/>
    </row>
    <row r="17" spans="1:5" x14ac:dyDescent="0.3">
      <c r="A17" s="12" t="s">
        <v>12</v>
      </c>
      <c r="B17" s="6" t="s">
        <v>9</v>
      </c>
      <c r="C17" s="5">
        <v>16</v>
      </c>
    </row>
    <row r="18" spans="1:5" x14ac:dyDescent="0.3">
      <c r="A18" s="13"/>
      <c r="B18" s="6" t="s">
        <v>10</v>
      </c>
      <c r="C18" s="5">
        <v>20</v>
      </c>
    </row>
    <row r="19" spans="1:5" x14ac:dyDescent="0.3">
      <c r="A19" s="14"/>
      <c r="B19" s="6" t="s">
        <v>11</v>
      </c>
      <c r="C19" s="5">
        <v>23</v>
      </c>
    </row>
    <row r="20" spans="1:5" x14ac:dyDescent="0.3">
      <c r="A20" s="12" t="s">
        <v>13</v>
      </c>
      <c r="B20" s="6" t="s">
        <v>9</v>
      </c>
      <c r="C20" s="5">
        <v>11</v>
      </c>
      <c r="E20" s="7"/>
    </row>
    <row r="21" spans="1:5" x14ac:dyDescent="0.3">
      <c r="A21" s="13"/>
      <c r="B21" s="6" t="s">
        <v>10</v>
      </c>
      <c r="C21" s="5">
        <v>20</v>
      </c>
      <c r="E21" s="7"/>
    </row>
    <row r="22" spans="1:5" x14ac:dyDescent="0.3">
      <c r="A22" s="14"/>
      <c r="B22" s="6" t="s">
        <v>11</v>
      </c>
      <c r="C22" s="5">
        <v>20</v>
      </c>
      <c r="E22" s="7"/>
    </row>
    <row r="23" spans="1:5" x14ac:dyDescent="0.3">
      <c r="A23" s="12" t="s">
        <v>14</v>
      </c>
      <c r="B23" s="6" t="s">
        <v>9</v>
      </c>
      <c r="C23" s="5">
        <v>11</v>
      </c>
      <c r="E23" s="7"/>
    </row>
    <row r="24" spans="1:5" x14ac:dyDescent="0.3">
      <c r="A24" s="13"/>
      <c r="B24" s="6" t="s">
        <v>10</v>
      </c>
      <c r="C24" s="5">
        <v>20</v>
      </c>
      <c r="E24" s="7"/>
    </row>
    <row r="25" spans="1:5" x14ac:dyDescent="0.3">
      <c r="A25" s="14"/>
      <c r="B25" s="6" t="s">
        <v>11</v>
      </c>
      <c r="C25" s="5">
        <v>20</v>
      </c>
      <c r="E25" s="7"/>
    </row>
  </sheetData>
  <mergeCells count="8">
    <mergeCell ref="A17:A19"/>
    <mergeCell ref="A20:A22"/>
    <mergeCell ref="A23:A25"/>
    <mergeCell ref="A2:A4"/>
    <mergeCell ref="A5:A7"/>
    <mergeCell ref="A8:A10"/>
    <mergeCell ref="A11:A13"/>
    <mergeCell ref="A14:A16"/>
  </mergeCells>
  <conditionalFormatting sqref="C2:C25">
    <cfRule type="cellIs" dxfId="8" priority="1" operator="greaterThan">
      <formula>19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74B-C471-4A8E-A569-E674A0845CB0}">
  <dimension ref="A1:G81"/>
  <sheetViews>
    <sheetView tabSelected="1" topLeftCell="A42" zoomScale="139" zoomScaleNormal="139" workbookViewId="0">
      <selection activeCell="A42" sqref="A42:A6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18" t="s">
        <v>5</v>
      </c>
      <c r="B2" s="18" t="s">
        <v>7</v>
      </c>
      <c r="C2" s="1">
        <v>1</v>
      </c>
      <c r="D2" s="20">
        <v>1.549077612007E-3</v>
      </c>
      <c r="E2" s="19">
        <f>AVERAGE(D2:D21)</f>
        <v>1.5873551730656594E-3</v>
      </c>
      <c r="F2" s="15">
        <f>AVERAGE(D2:D6,D8:D11,D16)</f>
        <v>1.596835646504416E-3</v>
      </c>
    </row>
    <row r="3" spans="1:6" x14ac:dyDescent="0.3">
      <c r="A3" s="18"/>
      <c r="B3" s="18"/>
      <c r="C3" s="1">
        <v>2</v>
      </c>
      <c r="D3" s="20">
        <v>1.5549697663912801E-3</v>
      </c>
      <c r="E3" s="19"/>
      <c r="F3" s="16"/>
    </row>
    <row r="4" spans="1:6" x14ac:dyDescent="0.3">
      <c r="A4" s="18"/>
      <c r="B4" s="18"/>
      <c r="C4" s="1">
        <v>3</v>
      </c>
      <c r="D4" s="20">
        <v>1.6487195861549799E-3</v>
      </c>
      <c r="E4" s="19"/>
      <c r="F4" s="16"/>
    </row>
    <row r="5" spans="1:6" x14ac:dyDescent="0.3">
      <c r="A5" s="18"/>
      <c r="B5" s="18"/>
      <c r="C5" s="1">
        <v>4</v>
      </c>
      <c r="D5" s="20">
        <v>1.5448380342641399E-3</v>
      </c>
      <c r="E5" s="19"/>
      <c r="F5" s="16"/>
    </row>
    <row r="6" spans="1:6" x14ac:dyDescent="0.3">
      <c r="A6" s="18"/>
      <c r="B6" s="18"/>
      <c r="C6" s="1">
        <v>5</v>
      </c>
      <c r="D6" s="20">
        <v>1.62774229973363E-3</v>
      </c>
      <c r="E6" s="19"/>
      <c r="F6" s="16"/>
    </row>
    <row r="7" spans="1:6" x14ac:dyDescent="0.3">
      <c r="A7" s="18"/>
      <c r="B7" s="18"/>
      <c r="C7" s="1">
        <v>6</v>
      </c>
      <c r="D7" s="20">
        <v>1.49850591051396E-3</v>
      </c>
      <c r="E7" s="19"/>
      <c r="F7" s="16"/>
    </row>
    <row r="8" spans="1:6" x14ac:dyDescent="0.3">
      <c r="A8" s="18"/>
      <c r="B8" s="18"/>
      <c r="C8" s="1">
        <v>7</v>
      </c>
      <c r="D8" s="20">
        <v>1.5925471964699E-3</v>
      </c>
      <c r="E8" s="19"/>
      <c r="F8" s="16"/>
    </row>
    <row r="9" spans="1:6" x14ac:dyDescent="0.3">
      <c r="A9" s="18"/>
      <c r="B9" s="18"/>
      <c r="C9" s="1">
        <v>8</v>
      </c>
      <c r="D9" s="20">
        <v>1.52026811148568E-3</v>
      </c>
      <c r="E9" s="19"/>
      <c r="F9" s="16"/>
    </row>
    <row r="10" spans="1:6" x14ac:dyDescent="0.3">
      <c r="A10" s="18"/>
      <c r="B10" s="18"/>
      <c r="C10" s="1">
        <v>9</v>
      </c>
      <c r="D10" s="20">
        <v>1.62373596342595E-3</v>
      </c>
      <c r="E10" s="19"/>
      <c r="F10" s="16"/>
    </row>
    <row r="11" spans="1:6" x14ac:dyDescent="0.3">
      <c r="A11" s="18"/>
      <c r="B11" s="18"/>
      <c r="C11" s="1">
        <v>10</v>
      </c>
      <c r="D11" s="20">
        <v>1.60019825430908E-3</v>
      </c>
      <c r="E11" s="19"/>
      <c r="F11" s="16"/>
    </row>
    <row r="12" spans="1:6" x14ac:dyDescent="0.3">
      <c r="A12" s="18"/>
      <c r="B12" s="18"/>
      <c r="C12" s="1">
        <v>11</v>
      </c>
      <c r="D12" s="20">
        <v>1.6830455302589301E-3</v>
      </c>
      <c r="E12" s="19"/>
      <c r="F12" s="16"/>
    </row>
    <row r="13" spans="1:6" x14ac:dyDescent="0.3">
      <c r="A13" s="18"/>
      <c r="B13" s="18"/>
      <c r="C13" s="1">
        <v>12</v>
      </c>
      <c r="D13" s="20">
        <v>1.5362134995501799E-3</v>
      </c>
      <c r="E13" s="19"/>
      <c r="F13" s="16"/>
    </row>
    <row r="14" spans="1:6" x14ac:dyDescent="0.3">
      <c r="A14" s="18"/>
      <c r="B14" s="18"/>
      <c r="C14" s="1">
        <v>13</v>
      </c>
      <c r="D14" s="20">
        <v>1.4833031049527299E-3</v>
      </c>
      <c r="E14" s="19"/>
      <c r="F14" s="16"/>
    </row>
    <row r="15" spans="1:6" x14ac:dyDescent="0.3">
      <c r="A15" s="18"/>
      <c r="B15" s="18"/>
      <c r="C15" s="1">
        <v>14</v>
      </c>
      <c r="D15" s="11">
        <v>1.7175056621861E-3</v>
      </c>
      <c r="E15" s="19"/>
      <c r="F15" s="16"/>
    </row>
    <row r="16" spans="1:6" x14ac:dyDescent="0.3">
      <c r="A16" s="18"/>
      <c r="B16" s="18"/>
      <c r="C16" s="1">
        <v>15</v>
      </c>
      <c r="D16" s="20">
        <v>1.7062596408025201E-3</v>
      </c>
      <c r="E16" s="19"/>
      <c r="F16" s="16"/>
    </row>
    <row r="17" spans="1:6" x14ac:dyDescent="0.3">
      <c r="A17" s="18"/>
      <c r="B17" s="18"/>
      <c r="C17" s="1">
        <v>16</v>
      </c>
      <c r="D17" s="20">
        <v>1.7753676496787001E-3</v>
      </c>
      <c r="E17" s="19"/>
      <c r="F17" s="16"/>
    </row>
    <row r="18" spans="1:6" x14ac:dyDescent="0.3">
      <c r="A18" s="18"/>
      <c r="B18" s="18"/>
      <c r="C18" s="1">
        <v>17</v>
      </c>
      <c r="D18" s="20">
        <v>1.54818775052122E-3</v>
      </c>
      <c r="E18" s="19"/>
      <c r="F18" s="16"/>
    </row>
    <row r="19" spans="1:6" x14ac:dyDescent="0.3">
      <c r="A19" s="18"/>
      <c r="B19" s="18"/>
      <c r="C19" s="1">
        <v>18</v>
      </c>
      <c r="D19" s="20">
        <v>1.41060297901343E-3</v>
      </c>
      <c r="E19" s="19"/>
      <c r="F19" s="16"/>
    </row>
    <row r="20" spans="1:6" x14ac:dyDescent="0.3">
      <c r="A20" s="18"/>
      <c r="B20" s="18"/>
      <c r="C20" s="1">
        <v>19</v>
      </c>
      <c r="D20" s="20">
        <v>1.47743443367196E-3</v>
      </c>
      <c r="E20" s="19"/>
      <c r="F20" s="16"/>
    </row>
    <row r="21" spans="1:6" x14ac:dyDescent="0.3">
      <c r="A21" s="18"/>
      <c r="B21" s="18"/>
      <c r="C21" s="1">
        <v>20</v>
      </c>
      <c r="D21" s="20">
        <v>1.6485804759218199E-3</v>
      </c>
      <c r="E21" s="19"/>
      <c r="F21" s="17"/>
    </row>
    <row r="22" spans="1:6" x14ac:dyDescent="0.3">
      <c r="A22" s="18" t="s">
        <v>5</v>
      </c>
      <c r="B22" s="18" t="s">
        <v>8</v>
      </c>
      <c r="C22" s="1">
        <v>1</v>
      </c>
      <c r="D22" s="20">
        <v>2.3374761113022899E-4</v>
      </c>
      <c r="E22" s="19">
        <f>AVERAGE(D22:D41)</f>
        <v>6.4069234975728173E-4</v>
      </c>
      <c r="F22" s="15">
        <f>AVERAGE(D22:D28,D30,D34,D36)</f>
        <v>6.4323603926814065E-4</v>
      </c>
    </row>
    <row r="23" spans="1:6" x14ac:dyDescent="0.3">
      <c r="A23" s="18"/>
      <c r="B23" s="18"/>
      <c r="C23" s="1">
        <v>2</v>
      </c>
      <c r="D23" s="11">
        <v>1.1736899171391601E-3</v>
      </c>
      <c r="E23" s="19"/>
      <c r="F23" s="16"/>
    </row>
    <row r="24" spans="1:6" x14ac:dyDescent="0.3">
      <c r="A24" s="18"/>
      <c r="B24" s="18"/>
      <c r="C24" s="1">
        <v>3</v>
      </c>
      <c r="D24" s="20">
        <v>8.2767686057404796E-4</v>
      </c>
      <c r="E24" s="19"/>
      <c r="F24" s="16"/>
    </row>
    <row r="25" spans="1:6" x14ac:dyDescent="0.3">
      <c r="A25" s="18"/>
      <c r="B25" s="18"/>
      <c r="C25" s="1">
        <v>4</v>
      </c>
      <c r="D25" s="20">
        <v>3.4274203412849597E-4</v>
      </c>
      <c r="E25" s="19"/>
      <c r="F25" s="16"/>
    </row>
    <row r="26" spans="1:6" x14ac:dyDescent="0.3">
      <c r="A26" s="18"/>
      <c r="B26" s="18"/>
      <c r="C26" s="1">
        <v>5</v>
      </c>
      <c r="D26" s="20">
        <v>7.2152958517817799E-4</v>
      </c>
      <c r="E26" s="19"/>
      <c r="F26" s="16"/>
    </row>
    <row r="27" spans="1:6" x14ac:dyDescent="0.3">
      <c r="A27" s="18"/>
      <c r="B27" s="18"/>
      <c r="C27" s="1">
        <v>6</v>
      </c>
      <c r="D27" s="20">
        <v>2.8576708932088102E-4</v>
      </c>
      <c r="E27" s="19"/>
      <c r="F27" s="16"/>
    </row>
    <row r="28" spans="1:6" x14ac:dyDescent="0.3">
      <c r="A28" s="18"/>
      <c r="B28" s="18"/>
      <c r="C28" s="1">
        <v>7</v>
      </c>
      <c r="D28" s="20">
        <v>6.6871833116217798E-4</v>
      </c>
      <c r="E28" s="19"/>
      <c r="F28" s="16"/>
    </row>
    <row r="29" spans="1:6" x14ac:dyDescent="0.3">
      <c r="A29" s="18"/>
      <c r="B29" s="18"/>
      <c r="C29" s="1">
        <v>8</v>
      </c>
      <c r="D29" s="20">
        <v>1.02032357626355E-3</v>
      </c>
      <c r="E29" s="19"/>
      <c r="F29" s="16"/>
    </row>
    <row r="30" spans="1:6" x14ac:dyDescent="0.3">
      <c r="A30" s="18"/>
      <c r="B30" s="18"/>
      <c r="C30" s="1">
        <v>9</v>
      </c>
      <c r="D30" s="20">
        <v>9.2004819171157795E-4</v>
      </c>
      <c r="E30" s="19"/>
      <c r="F30" s="16"/>
    </row>
    <row r="31" spans="1:6" x14ac:dyDescent="0.3">
      <c r="A31" s="18"/>
      <c r="B31" s="18"/>
      <c r="C31" s="1">
        <v>10</v>
      </c>
      <c r="D31" s="20">
        <v>8.3169069521447599E-4</v>
      </c>
      <c r="E31" s="19"/>
      <c r="F31" s="16"/>
    </row>
    <row r="32" spans="1:6" x14ac:dyDescent="0.3">
      <c r="A32" s="18"/>
      <c r="B32" s="18"/>
      <c r="C32" s="1">
        <v>11</v>
      </c>
      <c r="D32" s="20">
        <v>5.84784718963645E-4</v>
      </c>
      <c r="E32" s="19"/>
      <c r="F32" s="16"/>
    </row>
    <row r="33" spans="1:6" x14ac:dyDescent="0.3">
      <c r="A33" s="18"/>
      <c r="B33" s="18"/>
      <c r="C33" s="1">
        <v>12</v>
      </c>
      <c r="D33" s="20">
        <v>8.6696769328714705E-4</v>
      </c>
      <c r="E33" s="19"/>
      <c r="F33" s="16"/>
    </row>
    <row r="34" spans="1:6" x14ac:dyDescent="0.3">
      <c r="A34" s="18"/>
      <c r="B34" s="18"/>
      <c r="C34" s="1">
        <v>13</v>
      </c>
      <c r="D34" s="20">
        <v>6.9306333058030104E-4</v>
      </c>
      <c r="E34" s="19"/>
      <c r="F34" s="16"/>
    </row>
    <row r="35" spans="1:6" x14ac:dyDescent="0.3">
      <c r="A35" s="18"/>
      <c r="B35" s="18"/>
      <c r="C35" s="1">
        <v>14</v>
      </c>
      <c r="D35" s="20">
        <v>8.8015010604482202E-4</v>
      </c>
      <c r="E35" s="19"/>
      <c r="F35" s="16"/>
    </row>
    <row r="36" spans="1:6" x14ac:dyDescent="0.3">
      <c r="A36" s="18"/>
      <c r="B36" s="18"/>
      <c r="C36" s="1">
        <v>15</v>
      </c>
      <c r="D36" s="20">
        <v>5.6537744175635799E-4</v>
      </c>
      <c r="E36" s="19"/>
      <c r="F36" s="16"/>
    </row>
    <row r="37" spans="1:6" x14ac:dyDescent="0.3">
      <c r="A37" s="18"/>
      <c r="B37" s="18"/>
      <c r="C37" s="1">
        <v>16</v>
      </c>
      <c r="D37" s="20">
        <v>4.8683566193091402E-4</v>
      </c>
      <c r="E37" s="19"/>
      <c r="F37" s="16"/>
    </row>
    <row r="38" spans="1:6" x14ac:dyDescent="0.3">
      <c r="A38" s="18"/>
      <c r="B38" s="18"/>
      <c r="C38" s="1">
        <v>17</v>
      </c>
      <c r="D38" s="20">
        <v>4.9062137486430497E-4</v>
      </c>
      <c r="E38" s="19"/>
      <c r="F38" s="16"/>
    </row>
    <row r="39" spans="1:6" x14ac:dyDescent="0.3">
      <c r="A39" s="18"/>
      <c r="B39" s="18"/>
      <c r="C39" s="1">
        <v>18</v>
      </c>
      <c r="D39" s="20">
        <v>3.7318806802777698E-4</v>
      </c>
      <c r="E39" s="19"/>
      <c r="F39" s="16"/>
    </row>
    <row r="40" spans="1:6" x14ac:dyDescent="0.3">
      <c r="A40" s="18"/>
      <c r="B40" s="18"/>
      <c r="C40" s="1">
        <v>19</v>
      </c>
      <c r="D40" s="20">
        <v>3.65923516677029E-4</v>
      </c>
      <c r="E40" s="19"/>
      <c r="F40" s="16"/>
    </row>
    <row r="41" spans="1:6" x14ac:dyDescent="0.3">
      <c r="A41" s="18"/>
      <c r="B41" s="18"/>
      <c r="C41" s="1">
        <v>20</v>
      </c>
      <c r="D41" s="20">
        <v>4.8100119119056398E-4</v>
      </c>
      <c r="E41" s="19"/>
      <c r="F41" s="17"/>
    </row>
    <row r="42" spans="1:6" x14ac:dyDescent="0.3">
      <c r="A42" s="18" t="s">
        <v>5</v>
      </c>
      <c r="B42" s="18" t="s">
        <v>18</v>
      </c>
      <c r="C42" s="1">
        <v>1</v>
      </c>
      <c r="D42" s="3">
        <v>5.2775958311980997E-4</v>
      </c>
      <c r="E42" s="19">
        <f>AVERAGE(D42:D61)</f>
        <v>4.9181766845549937E-4</v>
      </c>
      <c r="F42" s="15">
        <f>AVERAGE(D42:D47,D51:D52,D59,D61)</f>
        <v>4.4134412009558716E-4</v>
      </c>
    </row>
    <row r="43" spans="1:6" x14ac:dyDescent="0.3">
      <c r="A43" s="18"/>
      <c r="B43" s="18"/>
      <c r="C43" s="1">
        <v>2</v>
      </c>
      <c r="D43" s="3">
        <v>4.4794767392581899E-4</v>
      </c>
      <c r="E43" s="19"/>
      <c r="F43" s="16"/>
    </row>
    <row r="44" spans="1:6" x14ac:dyDescent="0.3">
      <c r="A44" s="18"/>
      <c r="B44" s="18"/>
      <c r="C44" s="1">
        <v>3</v>
      </c>
      <c r="D44" s="3">
        <v>8.2751402331330897E-4</v>
      </c>
      <c r="E44" s="19"/>
      <c r="F44" s="16"/>
    </row>
    <row r="45" spans="1:6" x14ac:dyDescent="0.3">
      <c r="A45" s="18"/>
      <c r="B45" s="18"/>
      <c r="C45" s="1">
        <v>4</v>
      </c>
      <c r="D45" s="3">
        <v>4.8662618268624898E-4</v>
      </c>
      <c r="E45" s="19"/>
      <c r="F45" s="16"/>
    </row>
    <row r="46" spans="1:6" x14ac:dyDescent="0.3">
      <c r="A46" s="18"/>
      <c r="B46" s="18"/>
      <c r="C46" s="1">
        <v>5</v>
      </c>
      <c r="D46" s="3">
        <v>4.6653300740273802E-4</v>
      </c>
      <c r="E46" s="19"/>
      <c r="F46" s="16"/>
    </row>
    <row r="47" spans="1:6" x14ac:dyDescent="0.3">
      <c r="A47" s="18"/>
      <c r="B47" s="18"/>
      <c r="C47" s="1">
        <v>6</v>
      </c>
      <c r="D47" s="3">
        <v>3.6892012315260298E-4</v>
      </c>
      <c r="E47" s="19"/>
      <c r="F47" s="16"/>
    </row>
    <row r="48" spans="1:6" x14ac:dyDescent="0.3">
      <c r="A48" s="18"/>
      <c r="B48" s="18"/>
      <c r="C48" s="1">
        <v>7</v>
      </c>
      <c r="D48" s="3">
        <v>3.2647658829874801E-4</v>
      </c>
      <c r="E48" s="19"/>
      <c r="F48" s="16"/>
    </row>
    <row r="49" spans="1:6" x14ac:dyDescent="0.3">
      <c r="A49" s="18"/>
      <c r="B49" s="18"/>
      <c r="C49" s="1">
        <v>8</v>
      </c>
      <c r="D49" s="3">
        <v>4.44113677231486E-4</v>
      </c>
      <c r="E49" s="19"/>
      <c r="F49" s="16"/>
    </row>
    <row r="50" spans="1:6" x14ac:dyDescent="0.3">
      <c r="A50" s="18"/>
      <c r="B50" s="18"/>
      <c r="C50" s="1">
        <v>9</v>
      </c>
      <c r="D50" s="3">
        <v>3.8703338907771699E-4</v>
      </c>
      <c r="E50" s="19"/>
      <c r="F50" s="16"/>
    </row>
    <row r="51" spans="1:6" x14ac:dyDescent="0.3">
      <c r="A51" s="18"/>
      <c r="B51" s="18"/>
      <c r="C51" s="1">
        <v>10</v>
      </c>
      <c r="D51" s="3">
        <v>3.1963641891031501E-4</v>
      </c>
      <c r="E51" s="19"/>
      <c r="F51" s="16"/>
    </row>
    <row r="52" spans="1:6" x14ac:dyDescent="0.3">
      <c r="A52" s="18"/>
      <c r="B52" s="18"/>
      <c r="C52" s="1">
        <v>11</v>
      </c>
      <c r="D52" s="3">
        <v>3.3351747775278002E-4</v>
      </c>
      <c r="E52" s="19"/>
      <c r="F52" s="16"/>
    </row>
    <row r="53" spans="1:6" x14ac:dyDescent="0.3">
      <c r="A53" s="18"/>
      <c r="B53" s="18"/>
      <c r="C53" s="1">
        <v>12</v>
      </c>
      <c r="D53" s="3">
        <v>5.2633213859719797E-4</v>
      </c>
      <c r="E53" s="19"/>
      <c r="F53" s="16"/>
    </row>
    <row r="54" spans="1:6" x14ac:dyDescent="0.3">
      <c r="A54" s="18"/>
      <c r="B54" s="18"/>
      <c r="C54" s="1">
        <v>13</v>
      </c>
      <c r="D54" s="3">
        <v>3.7710960654057702E-4</v>
      </c>
      <c r="E54" s="19"/>
      <c r="F54" s="16"/>
    </row>
    <row r="55" spans="1:6" x14ac:dyDescent="0.3">
      <c r="A55" s="18"/>
      <c r="B55" s="18"/>
      <c r="C55" s="1">
        <v>14</v>
      </c>
      <c r="D55" s="3">
        <v>6.1915472804732698E-4</v>
      </c>
      <c r="E55" s="19"/>
      <c r="F55" s="16"/>
    </row>
    <row r="56" spans="1:6" x14ac:dyDescent="0.3">
      <c r="A56" s="18"/>
      <c r="B56" s="18"/>
      <c r="C56" s="1">
        <v>15</v>
      </c>
      <c r="D56" s="3">
        <v>9.4570731175234004E-4</v>
      </c>
      <c r="E56" s="19"/>
      <c r="F56" s="16"/>
    </row>
    <row r="57" spans="1:6" x14ac:dyDescent="0.3">
      <c r="A57" s="18"/>
      <c r="B57" s="18"/>
      <c r="C57" s="1">
        <v>16</v>
      </c>
      <c r="D57" s="3">
        <v>4.6826650937316898E-4</v>
      </c>
      <c r="E57" s="19"/>
      <c r="F57" s="16"/>
    </row>
    <row r="58" spans="1:6" x14ac:dyDescent="0.3">
      <c r="A58" s="18"/>
      <c r="B58" s="18"/>
      <c r="C58" s="1">
        <v>17</v>
      </c>
      <c r="D58" s="3">
        <v>4.8614998938515899E-4</v>
      </c>
      <c r="E58" s="19"/>
      <c r="F58" s="16"/>
    </row>
    <row r="59" spans="1:6" x14ac:dyDescent="0.3">
      <c r="A59" s="18"/>
      <c r="B59" s="18"/>
      <c r="C59" s="1">
        <v>18</v>
      </c>
      <c r="D59" s="11">
        <v>2.9128686474956999E-4</v>
      </c>
      <c r="E59" s="19"/>
      <c r="F59" s="16"/>
    </row>
    <row r="60" spans="1:6" x14ac:dyDescent="0.3">
      <c r="A60" s="18"/>
      <c r="B60" s="18"/>
      <c r="C60" s="1">
        <v>19</v>
      </c>
      <c r="D60" s="3">
        <v>8.4256822985039395E-4</v>
      </c>
      <c r="E60" s="19"/>
      <c r="F60" s="16"/>
    </row>
    <row r="61" spans="1:6" x14ac:dyDescent="0.3">
      <c r="A61" s="18"/>
      <c r="B61" s="18"/>
      <c r="C61" s="1">
        <v>20</v>
      </c>
      <c r="D61" s="3">
        <v>3.4369984594267799E-4</v>
      </c>
      <c r="E61" s="19"/>
      <c r="F61" s="17"/>
    </row>
    <row r="62" spans="1:6" x14ac:dyDescent="0.3">
      <c r="A62" s="18" t="s">
        <v>5</v>
      </c>
      <c r="B62" s="18" t="s">
        <v>19</v>
      </c>
      <c r="C62" s="1">
        <v>1</v>
      </c>
      <c r="D62" s="3"/>
      <c r="E62" s="19" t="e">
        <f>AVERAGE(D62:D81)</f>
        <v>#DIV/0!</v>
      </c>
      <c r="F62" s="15" t="e">
        <f>AVERAGE(D62,D66:D68,D70:D73,D77,D81)</f>
        <v>#DIV/0!</v>
      </c>
    </row>
    <row r="63" spans="1:6" x14ac:dyDescent="0.3">
      <c r="A63" s="18"/>
      <c r="B63" s="18"/>
      <c r="C63" s="1">
        <v>2</v>
      </c>
      <c r="D63" s="3"/>
      <c r="E63" s="19"/>
      <c r="F63" s="16"/>
    </row>
    <row r="64" spans="1:6" x14ac:dyDescent="0.3">
      <c r="A64" s="18"/>
      <c r="B64" s="18"/>
      <c r="C64" s="1">
        <v>3</v>
      </c>
      <c r="D64" s="3"/>
      <c r="E64" s="19"/>
      <c r="F64" s="16"/>
    </row>
    <row r="65" spans="1:6" x14ac:dyDescent="0.3">
      <c r="A65" s="18"/>
      <c r="B65" s="18"/>
      <c r="C65" s="1">
        <v>4</v>
      </c>
      <c r="D65" s="3"/>
      <c r="E65" s="19"/>
      <c r="F65" s="16"/>
    </row>
    <row r="66" spans="1:6" x14ac:dyDescent="0.3">
      <c r="A66" s="18"/>
      <c r="B66" s="18"/>
      <c r="C66" s="1">
        <v>5</v>
      </c>
      <c r="D66" s="3"/>
      <c r="E66" s="19"/>
      <c r="F66" s="16"/>
    </row>
    <row r="67" spans="1:6" x14ac:dyDescent="0.3">
      <c r="A67" s="18"/>
      <c r="B67" s="18"/>
      <c r="C67" s="1">
        <v>6</v>
      </c>
      <c r="D67" s="3"/>
      <c r="E67" s="19"/>
      <c r="F67" s="16"/>
    </row>
    <row r="68" spans="1:6" x14ac:dyDescent="0.3">
      <c r="A68" s="18"/>
      <c r="B68" s="18"/>
      <c r="C68" s="1">
        <v>7</v>
      </c>
      <c r="D68" s="3"/>
      <c r="E68" s="19"/>
      <c r="F68" s="16"/>
    </row>
    <row r="69" spans="1:6" x14ac:dyDescent="0.3">
      <c r="A69" s="18"/>
      <c r="B69" s="18"/>
      <c r="C69" s="1">
        <v>8</v>
      </c>
      <c r="D69" s="3"/>
      <c r="E69" s="19"/>
      <c r="F69" s="16"/>
    </row>
    <row r="70" spans="1:6" x14ac:dyDescent="0.3">
      <c r="A70" s="18"/>
      <c r="B70" s="18"/>
      <c r="C70" s="1">
        <v>9</v>
      </c>
      <c r="D70" s="3"/>
      <c r="E70" s="19"/>
      <c r="F70" s="16"/>
    </row>
    <row r="71" spans="1:6" x14ac:dyDescent="0.3">
      <c r="A71" s="18"/>
      <c r="B71" s="18"/>
      <c r="C71" s="1">
        <v>10</v>
      </c>
      <c r="D71" s="3"/>
      <c r="E71" s="19"/>
      <c r="F71" s="16"/>
    </row>
    <row r="72" spans="1:6" x14ac:dyDescent="0.3">
      <c r="A72" s="18"/>
      <c r="B72" s="18"/>
      <c r="C72" s="1">
        <v>11</v>
      </c>
      <c r="D72" s="3"/>
      <c r="E72" s="19"/>
      <c r="F72" s="16"/>
    </row>
    <row r="73" spans="1:6" x14ac:dyDescent="0.3">
      <c r="A73" s="18"/>
      <c r="B73" s="18"/>
      <c r="C73" s="1">
        <v>12</v>
      </c>
      <c r="D73" s="3"/>
      <c r="E73" s="19"/>
      <c r="F73" s="16"/>
    </row>
    <row r="74" spans="1:6" x14ac:dyDescent="0.3">
      <c r="A74" s="18"/>
      <c r="B74" s="18"/>
      <c r="C74" s="1">
        <v>13</v>
      </c>
      <c r="D74" s="3"/>
      <c r="E74" s="19"/>
      <c r="F74" s="16"/>
    </row>
    <row r="75" spans="1:6" x14ac:dyDescent="0.3">
      <c r="A75" s="18"/>
      <c r="B75" s="18"/>
      <c r="C75" s="1">
        <v>14</v>
      </c>
      <c r="D75" s="3"/>
      <c r="E75" s="19"/>
      <c r="F75" s="16"/>
    </row>
    <row r="76" spans="1:6" x14ac:dyDescent="0.3">
      <c r="A76" s="18"/>
      <c r="B76" s="18"/>
      <c r="C76" s="1">
        <v>15</v>
      </c>
      <c r="D76" s="3"/>
      <c r="E76" s="19"/>
      <c r="F76" s="16"/>
    </row>
    <row r="77" spans="1:6" x14ac:dyDescent="0.3">
      <c r="A77" s="18"/>
      <c r="B77" s="18"/>
      <c r="C77" s="1">
        <v>16</v>
      </c>
      <c r="D77" s="3"/>
      <c r="E77" s="19"/>
      <c r="F77" s="16"/>
    </row>
    <row r="78" spans="1:6" x14ac:dyDescent="0.3">
      <c r="A78" s="18"/>
      <c r="B78" s="18"/>
      <c r="C78" s="1">
        <v>17</v>
      </c>
      <c r="D78" s="3"/>
      <c r="E78" s="19"/>
      <c r="F78" s="16"/>
    </row>
    <row r="79" spans="1:6" x14ac:dyDescent="0.3">
      <c r="A79" s="18"/>
      <c r="B79" s="18"/>
      <c r="C79" s="1">
        <v>18</v>
      </c>
      <c r="D79" s="3"/>
      <c r="E79" s="19"/>
      <c r="F79" s="16"/>
    </row>
    <row r="80" spans="1:6" x14ac:dyDescent="0.3">
      <c r="A80" s="18"/>
      <c r="B80" s="18"/>
      <c r="C80" s="1">
        <v>19</v>
      </c>
      <c r="D80" s="3"/>
      <c r="E80" s="19"/>
      <c r="F80" s="16"/>
    </row>
    <row r="81" spans="1:6" x14ac:dyDescent="0.3">
      <c r="A81" s="18"/>
      <c r="B81" s="18"/>
      <c r="C81" s="1">
        <v>20</v>
      </c>
      <c r="D81" s="3"/>
      <c r="E81" s="19"/>
      <c r="F81" s="17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16">
    <cfRule type="top10" dxfId="7" priority="10" rank="10"/>
  </conditionalFormatting>
  <conditionalFormatting sqref="D22:D36">
    <cfRule type="top10" dxfId="6" priority="9" rank="10"/>
  </conditionalFormatting>
  <conditionalFormatting sqref="D42:D61">
    <cfRule type="top10" dxfId="5" priority="8" bottom="1" rank="10"/>
  </conditionalFormatting>
  <conditionalFormatting sqref="F2">
    <cfRule type="top10" dxfId="4" priority="5" rank="10"/>
  </conditionalFormatting>
  <conditionalFormatting sqref="F22">
    <cfRule type="top10" dxfId="3" priority="4" rank="10"/>
  </conditionalFormatting>
  <conditionalFormatting sqref="F42">
    <cfRule type="top10" dxfId="2" priority="3" bottom="1" rank="10"/>
  </conditionalFormatting>
  <conditionalFormatting sqref="D62:D81">
    <cfRule type="top10" dxfId="1" priority="2" bottom="1" rank="10"/>
  </conditionalFormatting>
  <conditionalFormatting sqref="F62">
    <cfRule type="top10" dxfId="0" priority="1" bottom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Activity-05-02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2024-11-21T11:10:08Z</dcterms:modified>
</cp:coreProperties>
</file>