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"/>
    </mc:Choice>
  </mc:AlternateContent>
  <xr:revisionPtr revIDLastSave="0" documentId="13_ncr:1_{4A51B4F1-6EA9-43B8-8A24-8F4813A524CD}" xr6:coauthVersionLast="47" xr6:coauthVersionMax="47" xr10:uidLastSave="{00000000-0000-0000-0000-000000000000}"/>
  <bookViews>
    <workbookView xWindow="-108" yWindow="-108" windowWidth="23256" windowHeight="12456" tabRatio="734" activeTab="1" xr2:uid="{00000000-000D-0000-FFFF-FFFF00000000}"/>
  </bookViews>
  <sheets>
    <sheet name="capa" sheetId="19" r:id="rId1"/>
    <sheet name="Activity-16-08" sheetId="20" r:id="rId2"/>
    <sheet name="Activity-32-16" sheetId="21" r:id="rId3"/>
    <sheet name="Activity-64-08" sheetId="22" r:id="rId4"/>
    <sheet name="Age-16-08" sheetId="23" r:id="rId5"/>
    <sheet name="Age-32-16" sheetId="24" r:id="rId6"/>
    <sheet name="Age-64-08" sheetId="25" r:id="rId7"/>
    <sheet name="Gender-16-08" sheetId="26" r:id="rId8"/>
    <sheet name="Gender-32-16" sheetId="27" r:id="rId9"/>
    <sheet name="Gender-64-08" sheetId="2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26" l="1"/>
  <c r="F42" i="23"/>
  <c r="F64" i="20"/>
  <c r="F64" i="26"/>
  <c r="F22" i="26"/>
  <c r="F2" i="26"/>
  <c r="F64" i="23"/>
  <c r="F22" i="23"/>
  <c r="F2" i="23"/>
  <c r="F42" i="20"/>
  <c r="F22" i="20"/>
  <c r="F62" i="21"/>
  <c r="F42" i="21"/>
  <c r="F22" i="21"/>
  <c r="F2" i="21"/>
  <c r="F2" i="20"/>
  <c r="F62" i="27"/>
  <c r="F42" i="27"/>
  <c r="F22" i="27"/>
  <c r="F2" i="27"/>
  <c r="F62" i="24"/>
  <c r="F22" i="24"/>
  <c r="F2" i="24"/>
  <c r="F42" i="24"/>
  <c r="F62" i="28"/>
  <c r="F42" i="28"/>
  <c r="F22" i="28"/>
  <c r="F2" i="28"/>
  <c r="F62" i="25"/>
  <c r="F42" i="25"/>
  <c r="F22" i="25"/>
  <c r="F2" i="25"/>
  <c r="F62" i="22"/>
  <c r="F42" i="22"/>
  <c r="F22" i="22"/>
  <c r="F2" i="22"/>
  <c r="E62" i="28"/>
  <c r="E42" i="28"/>
  <c r="E22" i="28"/>
  <c r="E2" i="28"/>
  <c r="E62" i="27"/>
  <c r="E42" i="27"/>
  <c r="E22" i="27"/>
  <c r="E2" i="27"/>
  <c r="E64" i="26"/>
  <c r="E42" i="26"/>
  <c r="E22" i="26"/>
  <c r="E2" i="26"/>
  <c r="E62" i="25"/>
  <c r="E42" i="25"/>
  <c r="E22" i="25"/>
  <c r="E2" i="25"/>
  <c r="E62" i="24"/>
  <c r="E42" i="24"/>
  <c r="E22" i="24"/>
  <c r="E2" i="24"/>
  <c r="E64" i="23"/>
  <c r="E42" i="23"/>
  <c r="E22" i="23"/>
  <c r="E2" i="23"/>
  <c r="E62" i="22"/>
  <c r="E42" i="22"/>
  <c r="E22" i="22"/>
  <c r="E2" i="22"/>
  <c r="E62" i="21"/>
  <c r="E42" i="21"/>
  <c r="E22" i="21"/>
  <c r="E2" i="21"/>
  <c r="E64" i="20"/>
  <c r="E42" i="20"/>
  <c r="E22" i="20"/>
  <c r="E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Vargas</author>
  </authors>
  <commentList>
    <comment ref="D12" authorId="0" shapeId="0" xr:uid="{B9BDC6F8-C697-4F46-900C-EAE4DC4AAA56}">
      <text>
        <r>
          <rPr>
            <b/>
            <sz val="9"/>
            <color indexed="81"/>
            <rFont val="Segoe UI"/>
            <family val="2"/>
          </rPr>
          <t>Rafael Vargas:</t>
        </r>
        <r>
          <rPr>
            <sz val="9"/>
            <color indexed="81"/>
            <rFont val="Segoe UI"/>
            <family val="2"/>
          </rPr>
          <t xml:space="preserve">
Já foram selecionados os melhores</t>
        </r>
      </text>
    </comment>
    <comment ref="D15" authorId="0" shapeId="0" xr:uid="{FA12611E-7015-4E16-A9ED-28719A83CF63}">
      <text>
        <r>
          <rPr>
            <b/>
            <sz val="9"/>
            <color indexed="81"/>
            <rFont val="Segoe UI"/>
            <family val="2"/>
          </rPr>
          <t>Rafael Vargas:</t>
        </r>
        <r>
          <rPr>
            <sz val="9"/>
            <color indexed="81"/>
            <rFont val="Segoe UI"/>
            <family val="2"/>
          </rPr>
          <t xml:space="preserve">
Já foram selecionados os melhores</t>
        </r>
      </text>
    </comment>
  </commentList>
</comments>
</file>

<file path=xl/sharedStrings.xml><?xml version="1.0" encoding="utf-8"?>
<sst xmlns="http://schemas.openxmlformats.org/spreadsheetml/2006/main" count="163" uniqueCount="23">
  <si>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</si>
  <si>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</si>
  <si>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</si>
  <si>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</si>
  <si>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</si>
  <si>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Activity</t>
  </si>
  <si>
    <t>Age</t>
  </si>
  <si>
    <t>Gender</t>
  </si>
  <si>
    <t>Batch-Size</t>
  </si>
  <si>
    <t>FedAvg Example</t>
  </si>
  <si>
    <t>FedAvg Loss</t>
  </si>
  <si>
    <t>16-08</t>
  </si>
  <si>
    <t>32-16</t>
  </si>
  <si>
    <t>64-08</t>
  </si>
  <si>
    <t>FedDEEV ACTIVITY</t>
  </si>
  <si>
    <t>FedDEEV AGE</t>
  </si>
  <si>
    <t>FedDEEV GENDER</t>
  </si>
  <si>
    <t>FedFair ACTIVITY</t>
  </si>
  <si>
    <t>FedFair AGE</t>
  </si>
  <si>
    <t>FedFair GENDER</t>
  </si>
  <si>
    <t>FedFair</t>
  </si>
  <si>
    <t>FedDEEV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</si>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</sst>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164" fontId="0" fillId="4" borderId="1" xfId="0" applyNumberFormat="1" applyFill="1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5" borderId="1" xfId="0" applyFill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64" fontId="0" fillId="6" borderId="1" xfId="0" applyNumberFormat="1" applyFill="1" applyBorder="1"/>
    <xf numFmtId="164" fontId="1" fillId="3" borderId="1" xfId="0" applyNumberFormat="1" applyFont="1" applyFill="1" applyBorder="1"/>
    <xf numFmtId="164" fontId="9" fillId="6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6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04F6-8B6A-4DFD-8AB9-B21C335488C7}">
  <dimension ref="A1:E25"/>
  <sheetViews>
    <sheetView topLeftCell="A11" zoomScale="130" zoomScaleNormal="130" workbookViewId="0">
      <selection activeCell="A20" sqref="A20:A22"/>
    </sheetView>
  </sheetViews>
  <sheetFormatPr defaultRowHeight="14.4" x14ac:dyDescent="0.3"/>
  <cols>
    <col min="1" max="1" width="16.5546875" bestFit="1" customWidth="1"/>
    <col min="2" max="2" width="9.6640625" bestFit="1" customWidth="1"/>
    <col min="4" max="4" width="8.88671875" style="8"/>
    <col min="5" max="5" width="8.88671875" style="4"/>
    <col min="6" max="6" width="22.109375" bestFit="1" customWidth="1"/>
  </cols>
  <sheetData>
    <row r="1" spans="1:5" x14ac:dyDescent="0.3">
      <c r="A1" s="2" t="s">
        <v>0</v>
      </c>
      <c r="B1" s="2" t="s">
        <v>8</v>
      </c>
      <c r="C1" s="2" t="s">
        <v>3</v>
      </c>
    </row>
    <row r="2" spans="1:5" x14ac:dyDescent="0.3">
      <c r="A2" s="15" t="s">
        <v>9</v>
      </c>
      <c r="B2" s="7" t="s">
        <v>11</v>
      </c>
      <c r="C2" s="6">
        <v>20</v>
      </c>
    </row>
    <row r="3" spans="1:5" x14ac:dyDescent="0.3">
      <c r="A3" s="16"/>
      <c r="B3" s="7" t="s">
        <v>12</v>
      </c>
      <c r="C3" s="6">
        <v>15</v>
      </c>
    </row>
    <row r="4" spans="1:5" x14ac:dyDescent="0.3">
      <c r="A4" s="17"/>
      <c r="B4" s="7" t="s">
        <v>13</v>
      </c>
      <c r="C4" s="6">
        <v>20</v>
      </c>
    </row>
    <row r="5" spans="1:5" x14ac:dyDescent="0.3">
      <c r="A5" s="15" t="s">
        <v>10</v>
      </c>
      <c r="B5" s="7" t="s">
        <v>11</v>
      </c>
      <c r="C5" s="6">
        <v>20</v>
      </c>
    </row>
    <row r="6" spans="1:5" x14ac:dyDescent="0.3">
      <c r="A6" s="16"/>
      <c r="B6" s="7" t="s">
        <v>12</v>
      </c>
      <c r="C6" s="6">
        <v>15</v>
      </c>
    </row>
    <row r="7" spans="1:5" x14ac:dyDescent="0.3">
      <c r="A7" s="17"/>
      <c r="B7" s="7" t="s">
        <v>13</v>
      </c>
      <c r="C7" s="6">
        <v>20</v>
      </c>
      <c r="E7" s="8"/>
    </row>
    <row r="8" spans="1:5" x14ac:dyDescent="0.3">
      <c r="A8" s="15" t="s">
        <v>17</v>
      </c>
      <c r="B8" s="7" t="s">
        <v>11</v>
      </c>
      <c r="C8" s="6">
        <v>20</v>
      </c>
      <c r="E8" s="8"/>
    </row>
    <row r="9" spans="1:5" x14ac:dyDescent="0.3">
      <c r="A9" s="16"/>
      <c r="B9" s="7" t="s">
        <v>12</v>
      </c>
      <c r="C9" s="6">
        <v>20</v>
      </c>
      <c r="D9" s="4"/>
    </row>
    <row r="10" spans="1:5" x14ac:dyDescent="0.3">
      <c r="A10" s="17"/>
      <c r="B10" s="7" t="s">
        <v>13</v>
      </c>
      <c r="C10" s="6">
        <v>20</v>
      </c>
      <c r="E10" s="8"/>
    </row>
    <row r="11" spans="1:5" x14ac:dyDescent="0.3">
      <c r="A11" s="15" t="s">
        <v>18</v>
      </c>
      <c r="B11" s="7" t="s">
        <v>11</v>
      </c>
      <c r="C11" s="6">
        <v>20</v>
      </c>
    </row>
    <row r="12" spans="1:5" x14ac:dyDescent="0.3">
      <c r="A12" s="16"/>
      <c r="B12" s="7" t="s">
        <v>12</v>
      </c>
      <c r="C12" s="10">
        <v>10</v>
      </c>
      <c r="D12" s="9" t="s">
        <v>22</v>
      </c>
    </row>
    <row r="13" spans="1:5" x14ac:dyDescent="0.3">
      <c r="A13" s="17"/>
      <c r="B13" s="7" t="s">
        <v>13</v>
      </c>
      <c r="C13" s="6">
        <v>20</v>
      </c>
      <c r="E13" s="8"/>
    </row>
    <row r="14" spans="1:5" x14ac:dyDescent="0.3">
      <c r="A14" s="15" t="s">
        <v>19</v>
      </c>
      <c r="B14" s="7" t="s">
        <v>11</v>
      </c>
      <c r="C14" s="6">
        <v>20</v>
      </c>
    </row>
    <row r="15" spans="1:5" x14ac:dyDescent="0.3">
      <c r="A15" s="16"/>
      <c r="B15" s="7" t="s">
        <v>12</v>
      </c>
      <c r="C15" s="10">
        <v>10</v>
      </c>
      <c r="D15" s="9" t="s">
        <v>22</v>
      </c>
    </row>
    <row r="16" spans="1:5" x14ac:dyDescent="0.3">
      <c r="A16" s="17"/>
      <c r="B16" s="7" t="s">
        <v>13</v>
      </c>
      <c r="C16" s="6">
        <v>20</v>
      </c>
      <c r="D16" s="11"/>
      <c r="E16" s="8"/>
    </row>
    <row r="17" spans="1:5" x14ac:dyDescent="0.3">
      <c r="A17" s="15" t="s">
        <v>14</v>
      </c>
      <c r="B17" s="7" t="s">
        <v>11</v>
      </c>
      <c r="C17" s="6">
        <v>16</v>
      </c>
    </row>
    <row r="18" spans="1:5" x14ac:dyDescent="0.3">
      <c r="A18" s="16"/>
      <c r="B18" s="7" t="s">
        <v>12</v>
      </c>
      <c r="C18" s="6">
        <v>20</v>
      </c>
    </row>
    <row r="19" spans="1:5" x14ac:dyDescent="0.3">
      <c r="A19" s="17"/>
      <c r="B19" s="7" t="s">
        <v>13</v>
      </c>
      <c r="C19" s="6">
        <v>23</v>
      </c>
    </row>
    <row r="20" spans="1:5" x14ac:dyDescent="0.3">
      <c r="A20" s="15" t="s">
        <v>15</v>
      </c>
      <c r="B20" s="7" t="s">
        <v>11</v>
      </c>
      <c r="C20" s="6">
        <v>11</v>
      </c>
      <c r="E20" s="8"/>
    </row>
    <row r="21" spans="1:5" x14ac:dyDescent="0.3">
      <c r="A21" s="16"/>
      <c r="B21" s="7" t="s">
        <v>12</v>
      </c>
      <c r="C21" s="6">
        <v>20</v>
      </c>
      <c r="E21" s="8"/>
    </row>
    <row r="22" spans="1:5" x14ac:dyDescent="0.3">
      <c r="A22" s="17"/>
      <c r="B22" s="7" t="s">
        <v>13</v>
      </c>
      <c r="C22" s="6">
        <v>20</v>
      </c>
      <c r="E22" s="8"/>
    </row>
    <row r="23" spans="1:5" x14ac:dyDescent="0.3">
      <c r="A23" s="15" t="s">
        <v>16</v>
      </c>
      <c r="B23" s="7" t="s">
        <v>11</v>
      </c>
      <c r="C23" s="6">
        <v>11</v>
      </c>
      <c r="E23" s="8"/>
    </row>
    <row r="24" spans="1:5" x14ac:dyDescent="0.3">
      <c r="A24" s="16"/>
      <c r="B24" s="7" t="s">
        <v>12</v>
      </c>
      <c r="C24" s="6">
        <v>20</v>
      </c>
      <c r="E24" s="8"/>
    </row>
    <row r="25" spans="1:5" x14ac:dyDescent="0.3">
      <c r="A25" s="17"/>
      <c r="B25" s="7" t="s">
        <v>13</v>
      </c>
      <c r="C25" s="6">
        <v>20</v>
      </c>
      <c r="E25" s="8"/>
    </row>
  </sheetData>
  <mergeCells count="8">
    <mergeCell ref="A17:A19"/>
    <mergeCell ref="A20:A22"/>
    <mergeCell ref="A23:A25"/>
    <mergeCell ref="A2:A4"/>
    <mergeCell ref="A5:A7"/>
    <mergeCell ref="A8:A10"/>
    <mergeCell ref="A11:A13"/>
    <mergeCell ref="A14:A16"/>
  </mergeCells>
  <conditionalFormatting sqref="C2:C25">
    <cfRule type="cellIs" dxfId="59" priority="1" operator="greaterThan">
      <formula>19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5848-5D8E-43A8-AD08-E2A6A8019A0A}">
  <dimension ref="A1:G83"/>
  <sheetViews>
    <sheetView tabSelected="1" zoomScale="139" zoomScaleNormal="139" workbookViewId="0">
      <selection activeCell="A2" sqref="A2:A2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5</v>
      </c>
      <c r="B2" s="22" t="s">
        <v>9</v>
      </c>
      <c r="C2" s="1">
        <v>1</v>
      </c>
      <c r="D2" s="3">
        <v>1.22740707443255E-3</v>
      </c>
      <c r="E2" s="23">
        <f>AVERAGE(D2:D21)</f>
        <v>1.297143749129491E-3</v>
      </c>
      <c r="F2" s="18">
        <f>AVERAGE(D2:D4,D7:D9,D11,D15,D18:D19)</f>
        <v>1.4552508230670212E-3</v>
      </c>
    </row>
    <row r="3" spans="1:6" x14ac:dyDescent="0.3">
      <c r="A3" s="22"/>
      <c r="B3" s="22"/>
      <c r="C3" s="1">
        <v>2</v>
      </c>
      <c r="D3" s="3">
        <v>1.5217850441141701E-3</v>
      </c>
      <c r="E3" s="23"/>
      <c r="F3" s="19"/>
    </row>
    <row r="4" spans="1:6" x14ac:dyDescent="0.3">
      <c r="A4" s="22"/>
      <c r="B4" s="22"/>
      <c r="C4" s="1">
        <v>3</v>
      </c>
      <c r="D4" s="3">
        <v>1.4187702239963399E-3</v>
      </c>
      <c r="E4" s="23"/>
      <c r="F4" s="19"/>
    </row>
    <row r="5" spans="1:6" x14ac:dyDescent="0.3">
      <c r="A5" s="22"/>
      <c r="B5" s="22"/>
      <c r="C5" s="1">
        <v>4</v>
      </c>
      <c r="D5" s="3">
        <v>1.21923057588587E-3</v>
      </c>
      <c r="E5" s="23"/>
      <c r="F5" s="19"/>
    </row>
    <row r="6" spans="1:6" x14ac:dyDescent="0.3">
      <c r="A6" s="22"/>
      <c r="B6" s="22"/>
      <c r="C6" s="1">
        <v>5</v>
      </c>
      <c r="D6" s="3">
        <v>1.2107251197056299E-3</v>
      </c>
      <c r="E6" s="23"/>
      <c r="F6" s="19"/>
    </row>
    <row r="7" spans="1:6" x14ac:dyDescent="0.3">
      <c r="A7" s="22"/>
      <c r="B7" s="22"/>
      <c r="C7" s="1">
        <v>6</v>
      </c>
      <c r="D7" s="13">
        <v>1.5994412310248701E-3</v>
      </c>
      <c r="E7" s="23"/>
      <c r="F7" s="19"/>
    </row>
    <row r="8" spans="1:6" x14ac:dyDescent="0.3">
      <c r="A8" s="22"/>
      <c r="B8" s="22"/>
      <c r="C8" s="1">
        <v>7</v>
      </c>
      <c r="D8" s="3">
        <v>1.3964272541872899E-3</v>
      </c>
      <c r="E8" s="23"/>
      <c r="F8" s="19"/>
    </row>
    <row r="9" spans="1:6" x14ac:dyDescent="0.3">
      <c r="A9" s="22"/>
      <c r="B9" s="22"/>
      <c r="C9" s="1">
        <v>8</v>
      </c>
      <c r="D9" s="3">
        <v>1.5234914987065399E-3</v>
      </c>
      <c r="E9" s="23"/>
      <c r="F9" s="19"/>
    </row>
    <row r="10" spans="1:6" x14ac:dyDescent="0.3">
      <c r="A10" s="22"/>
      <c r="B10" s="22"/>
      <c r="C10" s="1">
        <v>9</v>
      </c>
      <c r="D10" s="3">
        <v>1.14432918115938E-3</v>
      </c>
      <c r="E10" s="23"/>
      <c r="F10" s="19"/>
    </row>
    <row r="11" spans="1:6" x14ac:dyDescent="0.3">
      <c r="A11" s="22"/>
      <c r="B11" s="22"/>
      <c r="C11" s="1">
        <v>10</v>
      </c>
      <c r="D11" s="3">
        <v>1.29480134619695E-3</v>
      </c>
      <c r="E11" s="23"/>
      <c r="F11" s="19"/>
    </row>
    <row r="12" spans="1:6" x14ac:dyDescent="0.3">
      <c r="A12" s="22"/>
      <c r="B12" s="22"/>
      <c r="C12" s="1">
        <v>11</v>
      </c>
      <c r="D12" s="3">
        <v>1.1901786885313401E-3</v>
      </c>
      <c r="E12" s="23"/>
      <c r="F12" s="19"/>
    </row>
    <row r="13" spans="1:6" x14ac:dyDescent="0.3">
      <c r="A13" s="22"/>
      <c r="B13" s="22"/>
      <c r="C13" s="1">
        <v>12</v>
      </c>
      <c r="D13" s="3">
        <v>1.21455597518885E-3</v>
      </c>
      <c r="E13" s="23"/>
      <c r="F13" s="19"/>
    </row>
    <row r="14" spans="1:6" x14ac:dyDescent="0.3">
      <c r="A14" s="22"/>
      <c r="B14" s="22"/>
      <c r="C14" s="1">
        <v>13</v>
      </c>
      <c r="D14" s="3">
        <v>1.0349880227689299E-3</v>
      </c>
      <c r="E14" s="23"/>
      <c r="F14" s="19"/>
    </row>
    <row r="15" spans="1:6" x14ac:dyDescent="0.3">
      <c r="A15" s="22"/>
      <c r="B15" s="22"/>
      <c r="C15" s="1">
        <v>14</v>
      </c>
      <c r="D15" s="3">
        <v>1.5204181152668999E-3</v>
      </c>
      <c r="E15" s="23"/>
      <c r="F15" s="19"/>
    </row>
    <row r="16" spans="1:6" x14ac:dyDescent="0.3">
      <c r="A16" s="22"/>
      <c r="B16" s="22"/>
      <c r="C16" s="1">
        <v>15</v>
      </c>
      <c r="D16" s="3">
        <v>1.19990421209504E-3</v>
      </c>
      <c r="E16" s="23"/>
      <c r="F16" s="19"/>
    </row>
    <row r="17" spans="1:6" x14ac:dyDescent="0.3">
      <c r="A17" s="22"/>
      <c r="B17" s="22"/>
      <c r="C17" s="1">
        <v>16</v>
      </c>
      <c r="D17" s="3">
        <v>1.2246906354182901E-3</v>
      </c>
      <c r="E17" s="23"/>
      <c r="F17" s="19"/>
    </row>
    <row r="18" spans="1:6" x14ac:dyDescent="0.3">
      <c r="A18" s="22"/>
      <c r="B18" s="22"/>
      <c r="C18" s="1">
        <v>17</v>
      </c>
      <c r="D18" s="3">
        <v>1.52117829921756E-3</v>
      </c>
      <c r="E18" s="23"/>
      <c r="F18" s="19"/>
    </row>
    <row r="19" spans="1:6" x14ac:dyDescent="0.3">
      <c r="A19" s="22"/>
      <c r="B19" s="22"/>
      <c r="C19" s="1">
        <v>18</v>
      </c>
      <c r="D19" s="3">
        <v>1.52878814352704E-3</v>
      </c>
      <c r="E19" s="23"/>
      <c r="F19" s="19"/>
    </row>
    <row r="20" spans="1:6" x14ac:dyDescent="0.3">
      <c r="A20" s="22"/>
      <c r="B20" s="22"/>
      <c r="C20" s="1">
        <v>19</v>
      </c>
      <c r="D20" s="3">
        <v>1.0795270986069399E-3</v>
      </c>
      <c r="E20" s="23"/>
      <c r="F20" s="19"/>
    </row>
    <row r="21" spans="1:6" x14ac:dyDescent="0.3">
      <c r="A21" s="22"/>
      <c r="B21" s="22"/>
      <c r="C21" s="1">
        <v>20</v>
      </c>
      <c r="D21" s="3">
        <v>8.7223724255934196E-4</v>
      </c>
      <c r="E21" s="23"/>
      <c r="F21" s="20"/>
    </row>
    <row r="22" spans="1:6" x14ac:dyDescent="0.3">
      <c r="A22" s="22" t="s">
        <v>5</v>
      </c>
      <c r="B22" s="22" t="s">
        <v>10</v>
      </c>
      <c r="C22" s="1">
        <v>1</v>
      </c>
      <c r="D22" s="3">
        <v>1.76494351019696E-4</v>
      </c>
      <c r="E22" s="23">
        <f>AVERAGE(D22:D41)</f>
        <v>4.034168271948948E-4</v>
      </c>
      <c r="F22" s="18">
        <f>AVERAGE(D23,D25:D26,D28,D30:D32,D38,D40,D41)</f>
        <v>5.9452440575380916E-4</v>
      </c>
    </row>
    <row r="23" spans="1:6" x14ac:dyDescent="0.3">
      <c r="A23" s="22"/>
      <c r="B23" s="22"/>
      <c r="C23" s="1">
        <v>2</v>
      </c>
      <c r="D23" s="3">
        <v>5.46025356640438E-4</v>
      </c>
      <c r="E23" s="23"/>
      <c r="F23" s="19"/>
    </row>
    <row r="24" spans="1:6" x14ac:dyDescent="0.3">
      <c r="A24" s="22"/>
      <c r="B24" s="22"/>
      <c r="C24" s="1">
        <v>3</v>
      </c>
      <c r="D24" s="3">
        <v>1.7489087688418899E-4</v>
      </c>
      <c r="E24" s="23"/>
      <c r="F24" s="19"/>
    </row>
    <row r="25" spans="1:6" x14ac:dyDescent="0.3">
      <c r="A25" s="22"/>
      <c r="B25" s="22"/>
      <c r="C25" s="1">
        <v>4</v>
      </c>
      <c r="D25" s="3">
        <v>4.5331415788522699E-4</v>
      </c>
      <c r="E25" s="23"/>
      <c r="F25" s="19"/>
    </row>
    <row r="26" spans="1:6" x14ac:dyDescent="0.3">
      <c r="A26" s="22"/>
      <c r="B26" s="22"/>
      <c r="C26" s="1">
        <v>5</v>
      </c>
      <c r="D26" s="3">
        <v>4.5224030226177498E-4</v>
      </c>
      <c r="E26" s="23"/>
      <c r="F26" s="19"/>
    </row>
    <row r="27" spans="1:6" x14ac:dyDescent="0.3">
      <c r="A27" s="22"/>
      <c r="B27" s="22"/>
      <c r="C27" s="1">
        <v>6</v>
      </c>
      <c r="D27" s="3">
        <v>3.25042909349475E-4</v>
      </c>
      <c r="E27" s="23"/>
      <c r="F27" s="19"/>
    </row>
    <row r="28" spans="1:6" x14ac:dyDescent="0.3">
      <c r="A28" s="22"/>
      <c r="B28" s="22"/>
      <c r="C28" s="1">
        <v>7</v>
      </c>
      <c r="D28" s="3">
        <v>5.4759582523591596E-4</v>
      </c>
      <c r="E28" s="23"/>
      <c r="F28" s="19"/>
    </row>
    <row r="29" spans="1:6" x14ac:dyDescent="0.3">
      <c r="A29" s="22"/>
      <c r="B29" s="22"/>
      <c r="C29" s="1">
        <v>8</v>
      </c>
      <c r="D29" s="3">
        <v>4.0296420303591798E-5</v>
      </c>
      <c r="E29" s="23"/>
      <c r="F29" s="19"/>
    </row>
    <row r="30" spans="1:6" x14ac:dyDescent="0.3">
      <c r="A30" s="22"/>
      <c r="B30" s="22"/>
      <c r="C30" s="1">
        <v>9</v>
      </c>
      <c r="D30" s="13">
        <v>8.9001901515576199E-4</v>
      </c>
      <c r="E30" s="23"/>
      <c r="F30" s="19"/>
    </row>
    <row r="31" spans="1:6" x14ac:dyDescent="0.3">
      <c r="A31" s="22"/>
      <c r="B31" s="22"/>
      <c r="C31" s="1">
        <v>10</v>
      </c>
      <c r="D31" s="3">
        <v>8.6876944325313898E-4</v>
      </c>
      <c r="E31" s="23"/>
      <c r="F31" s="19"/>
    </row>
    <row r="32" spans="1:6" x14ac:dyDescent="0.3">
      <c r="A32" s="22"/>
      <c r="B32" s="22"/>
      <c r="C32" s="1">
        <v>11</v>
      </c>
      <c r="D32" s="3">
        <v>5.9022203911008697E-4</v>
      </c>
      <c r="E32" s="23"/>
      <c r="F32" s="19"/>
    </row>
    <row r="33" spans="1:6" x14ac:dyDescent="0.3">
      <c r="A33" s="22"/>
      <c r="B33" s="22"/>
      <c r="C33" s="1">
        <v>12</v>
      </c>
      <c r="D33" s="3">
        <v>3.02335649703622E-4</v>
      </c>
      <c r="E33" s="23"/>
      <c r="F33" s="19"/>
    </row>
    <row r="34" spans="1:6" x14ac:dyDescent="0.3">
      <c r="A34" s="22"/>
      <c r="B34" s="22"/>
      <c r="C34" s="1">
        <v>13</v>
      </c>
      <c r="D34" s="3">
        <v>2.5819234845117001E-4</v>
      </c>
      <c r="E34" s="23"/>
      <c r="F34" s="19"/>
    </row>
    <row r="35" spans="1:6" x14ac:dyDescent="0.3">
      <c r="A35" s="22"/>
      <c r="B35" s="22"/>
      <c r="C35" s="1">
        <v>14</v>
      </c>
      <c r="D35" s="3">
        <v>4.24572970254118E-4</v>
      </c>
      <c r="E35" s="23"/>
      <c r="F35" s="19"/>
    </row>
    <row r="36" spans="1:6" x14ac:dyDescent="0.3">
      <c r="A36" s="22"/>
      <c r="B36" s="22"/>
      <c r="C36" s="1">
        <v>15</v>
      </c>
      <c r="D36" s="3">
        <v>1.46589791995469E-6</v>
      </c>
      <c r="E36" s="23"/>
      <c r="F36" s="19"/>
    </row>
    <row r="37" spans="1:6" x14ac:dyDescent="0.3">
      <c r="A37" s="22"/>
      <c r="B37" s="22"/>
      <c r="C37" s="1">
        <v>16</v>
      </c>
      <c r="D37" s="3">
        <v>3.9779324614368499E-4</v>
      </c>
      <c r="E37" s="23"/>
      <c r="F37" s="19"/>
    </row>
    <row r="38" spans="1:6" x14ac:dyDescent="0.3">
      <c r="A38" s="22"/>
      <c r="B38" s="22"/>
      <c r="C38" s="1">
        <v>17</v>
      </c>
      <c r="D38" s="3">
        <v>6.1650864017884503E-4</v>
      </c>
      <c r="E38" s="23"/>
      <c r="F38" s="19"/>
    </row>
    <row r="39" spans="1:6" x14ac:dyDescent="0.3">
      <c r="A39" s="22"/>
      <c r="B39" s="22"/>
      <c r="C39" s="1">
        <v>18</v>
      </c>
      <c r="D39" s="3">
        <v>2.20078163303027E-5</v>
      </c>
      <c r="E39" s="23"/>
      <c r="F39" s="19"/>
    </row>
    <row r="40" spans="1:6" x14ac:dyDescent="0.3">
      <c r="A40" s="22"/>
      <c r="B40" s="22"/>
      <c r="C40" s="1">
        <v>19</v>
      </c>
      <c r="D40" s="3">
        <v>5.0701389861864603E-4</v>
      </c>
      <c r="E40" s="23"/>
      <c r="F40" s="19"/>
    </row>
    <row r="41" spans="1:6" x14ac:dyDescent="0.3">
      <c r="A41" s="22"/>
      <c r="B41" s="22"/>
      <c r="C41" s="1">
        <v>20</v>
      </c>
      <c r="D41" s="3">
        <v>4.7353537919825702E-4</v>
      </c>
      <c r="E41" s="23"/>
      <c r="F41" s="20"/>
    </row>
    <row r="42" spans="1:6" x14ac:dyDescent="0.3">
      <c r="A42" s="22" t="s">
        <v>5</v>
      </c>
      <c r="B42" s="22" t="s">
        <v>20</v>
      </c>
      <c r="C42" s="1">
        <v>1</v>
      </c>
      <c r="D42" s="5">
        <v>1.73793482370665E-4</v>
      </c>
      <c r="E42" s="23">
        <f>AVERAGE(D42:D63)</f>
        <v>2.4411071926912773E-4</v>
      </c>
      <c r="F42" s="21">
        <f>AVERAGE(D42,D44:D45,D47,D49,D51,D53,D55,D57,D59)</f>
        <v>1.5986304887223075E-4</v>
      </c>
    </row>
    <row r="43" spans="1:6" x14ac:dyDescent="0.3">
      <c r="A43" s="22"/>
      <c r="B43" s="22"/>
      <c r="C43" s="1">
        <v>2</v>
      </c>
      <c r="D43" s="3">
        <v>4.4079621496062001E-5</v>
      </c>
      <c r="E43" s="23"/>
      <c r="F43" s="21"/>
    </row>
    <row r="44" spans="1:6" x14ac:dyDescent="0.3">
      <c r="A44" s="22"/>
      <c r="B44" s="22"/>
      <c r="C44" s="1">
        <v>3</v>
      </c>
      <c r="D44" s="5">
        <v>1.9820721733818201E-4</v>
      </c>
      <c r="E44" s="23"/>
      <c r="F44" s="21"/>
    </row>
    <row r="45" spans="1:6" x14ac:dyDescent="0.3">
      <c r="A45" s="22"/>
      <c r="B45" s="22"/>
      <c r="C45" s="1">
        <v>4</v>
      </c>
      <c r="D45" s="5">
        <v>2.6898882604876098E-4</v>
      </c>
      <c r="E45" s="23"/>
      <c r="F45" s="21"/>
    </row>
    <row r="46" spans="1:6" x14ac:dyDescent="0.3">
      <c r="A46" s="22"/>
      <c r="B46" s="22"/>
      <c r="C46" s="1">
        <v>5</v>
      </c>
      <c r="D46" s="3">
        <v>9.9347684117131399E-6</v>
      </c>
      <c r="E46" s="23"/>
      <c r="F46" s="21"/>
    </row>
    <row r="47" spans="1:6" x14ac:dyDescent="0.3">
      <c r="A47" s="22"/>
      <c r="B47" s="22"/>
      <c r="C47" s="1">
        <v>6</v>
      </c>
      <c r="D47" s="5">
        <v>1.70899292234211E-4</v>
      </c>
      <c r="E47" s="23"/>
      <c r="F47" s="21"/>
    </row>
    <row r="48" spans="1:6" x14ac:dyDescent="0.3">
      <c r="A48" s="22"/>
      <c r="B48" s="22"/>
      <c r="C48" s="1">
        <v>7</v>
      </c>
      <c r="D48" s="3">
        <v>3.7644454634369102E-4</v>
      </c>
      <c r="E48" s="23"/>
      <c r="F48" s="21"/>
    </row>
    <row r="49" spans="1:6" x14ac:dyDescent="0.3">
      <c r="A49" s="22"/>
      <c r="B49" s="22"/>
      <c r="C49" s="1">
        <v>8</v>
      </c>
      <c r="D49" s="14">
        <v>7.5758852866904895E-5</v>
      </c>
      <c r="E49" s="23"/>
      <c r="F49" s="21"/>
    </row>
    <row r="50" spans="1:6" x14ac:dyDescent="0.3">
      <c r="A50" s="22"/>
      <c r="B50" s="22"/>
      <c r="C50" s="1">
        <v>9</v>
      </c>
      <c r="D50" s="3">
        <v>4.9271851899704603E-4</v>
      </c>
      <c r="E50" s="23"/>
      <c r="F50" s="21"/>
    </row>
    <row r="51" spans="1:6" x14ac:dyDescent="0.3">
      <c r="A51" s="22"/>
      <c r="B51" s="22"/>
      <c r="C51" s="1">
        <v>10</v>
      </c>
      <c r="D51" s="5">
        <v>1.9241252143063401E-4</v>
      </c>
      <c r="E51" s="23"/>
      <c r="F51" s="21"/>
    </row>
    <row r="52" spans="1:6" x14ac:dyDescent="0.3">
      <c r="A52" s="22"/>
      <c r="B52" s="22"/>
      <c r="C52" s="1">
        <v>11</v>
      </c>
      <c r="D52" s="3">
        <v>3.3565148161274601E-4</v>
      </c>
      <c r="E52" s="23"/>
      <c r="F52" s="21"/>
    </row>
    <row r="53" spans="1:6" x14ac:dyDescent="0.3">
      <c r="A53" s="22"/>
      <c r="B53" s="22"/>
      <c r="C53" s="1">
        <v>12</v>
      </c>
      <c r="D53" s="5">
        <v>1.2738871373007399E-4</v>
      </c>
      <c r="E53" s="23"/>
      <c r="F53" s="21"/>
    </row>
    <row r="54" spans="1:6" x14ac:dyDescent="0.3">
      <c r="A54" s="22"/>
      <c r="B54" s="22"/>
      <c r="C54" s="1">
        <v>13</v>
      </c>
      <c r="D54" s="3">
        <v>3.4164426510307702E-4</v>
      </c>
      <c r="E54" s="23"/>
      <c r="F54" s="21"/>
    </row>
    <row r="55" spans="1:6" x14ac:dyDescent="0.3">
      <c r="A55" s="22"/>
      <c r="B55" s="22"/>
      <c r="C55" s="1">
        <v>14</v>
      </c>
      <c r="D55" s="5">
        <v>1.78335406733681E-4</v>
      </c>
      <c r="E55" s="23"/>
      <c r="F55" s="21"/>
    </row>
    <row r="56" spans="1:6" x14ac:dyDescent="0.3">
      <c r="A56" s="22"/>
      <c r="B56" s="22"/>
      <c r="C56" s="1">
        <v>15</v>
      </c>
      <c r="D56" s="3">
        <v>5.6072231141028302E-4</v>
      </c>
      <c r="E56" s="23"/>
      <c r="F56" s="21"/>
    </row>
    <row r="57" spans="1:6" x14ac:dyDescent="0.3">
      <c r="A57" s="22"/>
      <c r="B57" s="22"/>
      <c r="C57" s="1">
        <v>16</v>
      </c>
      <c r="D57" s="5">
        <v>1.25699260356949E-4</v>
      </c>
      <c r="E57" s="23"/>
      <c r="F57" s="21"/>
    </row>
    <row r="58" spans="1:6" x14ac:dyDescent="0.3">
      <c r="A58" s="22"/>
      <c r="B58" s="22"/>
      <c r="C58" s="1">
        <v>17</v>
      </c>
      <c r="D58" s="3">
        <v>2.9871229144554201E-5</v>
      </c>
      <c r="E58" s="23"/>
      <c r="F58" s="21"/>
    </row>
    <row r="59" spans="1:6" x14ac:dyDescent="0.3">
      <c r="A59" s="22"/>
      <c r="B59" s="22"/>
      <c r="C59" s="1">
        <v>18</v>
      </c>
      <c r="D59" s="12">
        <v>8.7146915612245604E-5</v>
      </c>
      <c r="E59" s="23"/>
      <c r="F59" s="21"/>
    </row>
    <row r="60" spans="1:6" x14ac:dyDescent="0.3">
      <c r="A60" s="22"/>
      <c r="B60" s="22"/>
      <c r="C60" s="1">
        <v>19</v>
      </c>
      <c r="D60" s="3">
        <v>3.6070190177676801E-4</v>
      </c>
      <c r="E60" s="23"/>
      <c r="F60" s="21"/>
    </row>
    <row r="61" spans="1:6" x14ac:dyDescent="0.3">
      <c r="A61" s="22"/>
      <c r="B61" s="22"/>
      <c r="C61" s="1">
        <v>20</v>
      </c>
      <c r="D61" s="3">
        <v>4.4742128486520899E-4</v>
      </c>
      <c r="E61" s="23"/>
      <c r="F61" s="21"/>
    </row>
    <row r="62" spans="1:6" x14ac:dyDescent="0.3">
      <c r="A62" s="22"/>
      <c r="B62" s="22"/>
      <c r="C62" s="1">
        <v>21</v>
      </c>
      <c r="D62" s="3">
        <v>4.0631594533230698E-4</v>
      </c>
      <c r="E62" s="23"/>
      <c r="F62" s="21"/>
    </row>
    <row r="63" spans="1:6" x14ac:dyDescent="0.3">
      <c r="A63" s="22"/>
      <c r="B63" s="22"/>
      <c r="C63" s="1">
        <v>22</v>
      </c>
      <c r="D63" s="3">
        <v>3.66299460705046E-4</v>
      </c>
      <c r="E63" s="23"/>
      <c r="F63" s="21"/>
    </row>
    <row r="64" spans="1:6" x14ac:dyDescent="0.3">
      <c r="A64" s="22" t="s">
        <v>5</v>
      </c>
      <c r="B64" s="22" t="s">
        <v>21</v>
      </c>
      <c r="C64" s="1">
        <v>1</v>
      </c>
      <c r="D64" s="3">
        <v>4.48989923826619E-4</v>
      </c>
      <c r="E64" s="23">
        <f>AVERAGE(D64:D83)</f>
        <v>2.6670853227371365E-4</v>
      </c>
      <c r="F64" s="21">
        <f>AVERAGE(D65:D67,D74,D78)</f>
        <v>1.3397660248372568E-4</v>
      </c>
    </row>
    <row r="65" spans="1:6" x14ac:dyDescent="0.3">
      <c r="A65" s="22"/>
      <c r="B65" s="22"/>
      <c r="C65" s="1">
        <v>2</v>
      </c>
      <c r="D65" s="5">
        <v>1.5055522887011001E-4</v>
      </c>
      <c r="E65" s="23"/>
      <c r="F65" s="21"/>
    </row>
    <row r="66" spans="1:6" x14ac:dyDescent="0.3">
      <c r="A66" s="22"/>
      <c r="B66" s="22"/>
      <c r="C66" s="1">
        <v>3</v>
      </c>
      <c r="D66" s="5">
        <v>1.2001671465039301E-4</v>
      </c>
      <c r="E66" s="23"/>
      <c r="F66" s="21"/>
    </row>
    <row r="67" spans="1:6" x14ac:dyDescent="0.3">
      <c r="A67" s="22"/>
      <c r="B67" s="22"/>
      <c r="C67" s="1">
        <v>4</v>
      </c>
      <c r="D67" s="5">
        <v>1.99045734909399E-4</v>
      </c>
      <c r="E67" s="23"/>
      <c r="F67" s="21"/>
    </row>
    <row r="68" spans="1:6" x14ac:dyDescent="0.3">
      <c r="A68" s="22"/>
      <c r="B68" s="22"/>
      <c r="C68" s="1">
        <v>5</v>
      </c>
      <c r="D68" s="3">
        <v>3.1517033052413397E-4</v>
      </c>
      <c r="E68" s="23"/>
      <c r="F68" s="21"/>
    </row>
    <row r="69" spans="1:6" x14ac:dyDescent="0.3">
      <c r="A69" s="22"/>
      <c r="B69" s="22"/>
      <c r="C69" s="1">
        <v>6</v>
      </c>
      <c r="D69" s="3">
        <v>3.5873259491317602E-4</v>
      </c>
      <c r="E69" s="23"/>
      <c r="F69" s="21"/>
    </row>
    <row r="70" spans="1:6" x14ac:dyDescent="0.3">
      <c r="A70" s="22"/>
      <c r="B70" s="22"/>
      <c r="C70" s="1">
        <v>7</v>
      </c>
      <c r="D70" s="3">
        <v>5.6793071768028501E-4</v>
      </c>
      <c r="E70" s="23"/>
      <c r="F70" s="21"/>
    </row>
    <row r="71" spans="1:6" x14ac:dyDescent="0.3">
      <c r="A71" s="22"/>
      <c r="B71" s="22"/>
      <c r="C71" s="1">
        <v>8</v>
      </c>
      <c r="D71" s="3">
        <v>4.0939064919241801E-4</v>
      </c>
      <c r="E71" s="23"/>
      <c r="F71" s="21"/>
    </row>
    <row r="72" spans="1:6" x14ac:dyDescent="0.3">
      <c r="A72" s="22"/>
      <c r="B72" s="22"/>
      <c r="C72" s="1">
        <v>9</v>
      </c>
      <c r="D72" s="3">
        <v>9.6317454533480103E-7</v>
      </c>
      <c r="E72" s="23"/>
      <c r="F72" s="21"/>
    </row>
    <row r="73" spans="1:6" x14ac:dyDescent="0.3">
      <c r="A73" s="22"/>
      <c r="B73" s="22"/>
      <c r="C73" s="1">
        <v>10</v>
      </c>
      <c r="D73" s="3">
        <v>3.5605812198087302E-4</v>
      </c>
      <c r="E73" s="23"/>
      <c r="F73" s="21"/>
    </row>
    <row r="74" spans="1:6" x14ac:dyDescent="0.3">
      <c r="A74" s="22"/>
      <c r="B74" s="22"/>
      <c r="C74" s="1">
        <v>11</v>
      </c>
      <c r="D74" s="12">
        <v>9.6845900817349302E-5</v>
      </c>
      <c r="E74" s="23"/>
      <c r="F74" s="21"/>
    </row>
    <row r="75" spans="1:6" x14ac:dyDescent="0.3">
      <c r="A75" s="22"/>
      <c r="B75" s="22"/>
      <c r="C75" s="1">
        <v>12</v>
      </c>
      <c r="D75" s="3">
        <v>3.4802240911229203E-4</v>
      </c>
      <c r="E75" s="23"/>
      <c r="F75" s="21"/>
    </row>
    <row r="76" spans="1:6" x14ac:dyDescent="0.3">
      <c r="A76" s="22"/>
      <c r="B76" s="22"/>
      <c r="C76" s="1">
        <v>13</v>
      </c>
      <c r="D76" s="3">
        <v>3.7985374558741899E-4</v>
      </c>
      <c r="E76" s="23"/>
      <c r="F76" s="21"/>
    </row>
    <row r="77" spans="1:6" x14ac:dyDescent="0.3">
      <c r="A77" s="22"/>
      <c r="B77" s="22"/>
      <c r="C77" s="1">
        <v>14</v>
      </c>
      <c r="D77" s="3">
        <v>2.78945000054973E-5</v>
      </c>
      <c r="E77" s="23"/>
      <c r="F77" s="21"/>
    </row>
    <row r="78" spans="1:6" x14ac:dyDescent="0.3">
      <c r="A78" s="22"/>
      <c r="B78" s="22"/>
      <c r="C78" s="1">
        <v>15</v>
      </c>
      <c r="D78" s="5">
        <v>1.03419433171377E-4</v>
      </c>
      <c r="E78" s="23"/>
      <c r="F78" s="21"/>
    </row>
    <row r="79" spans="1:6" x14ac:dyDescent="0.3">
      <c r="A79" s="22"/>
      <c r="B79" s="22"/>
      <c r="C79" s="1">
        <v>16</v>
      </c>
      <c r="D79" s="3">
        <v>3.8444733659274201E-4</v>
      </c>
      <c r="E79" s="23"/>
      <c r="F79" s="21"/>
    </row>
    <row r="80" spans="1:6" x14ac:dyDescent="0.3">
      <c r="A80" s="22"/>
      <c r="B80" s="22"/>
      <c r="C80" s="1">
        <v>17</v>
      </c>
      <c r="D80" s="3"/>
      <c r="E80" s="23"/>
      <c r="F80" s="21"/>
    </row>
    <row r="81" spans="1:6" x14ac:dyDescent="0.3">
      <c r="A81" s="22"/>
      <c r="B81" s="22"/>
      <c r="C81" s="1">
        <v>18</v>
      </c>
      <c r="D81" s="3"/>
      <c r="E81" s="23"/>
      <c r="F81" s="21"/>
    </row>
    <row r="82" spans="1:6" x14ac:dyDescent="0.3">
      <c r="A82" s="22"/>
      <c r="B82" s="22"/>
      <c r="C82" s="1">
        <v>19</v>
      </c>
      <c r="D82" s="3"/>
      <c r="E82" s="23"/>
      <c r="F82" s="21"/>
    </row>
    <row r="83" spans="1:6" x14ac:dyDescent="0.3">
      <c r="A83" s="22"/>
      <c r="B83" s="22"/>
      <c r="C83" s="1">
        <v>20</v>
      </c>
      <c r="D83" s="3"/>
      <c r="E83" s="23"/>
      <c r="F83" s="21"/>
    </row>
  </sheetData>
  <mergeCells count="16">
    <mergeCell ref="F2:F21"/>
    <mergeCell ref="F22:F41"/>
    <mergeCell ref="F42:F63"/>
    <mergeCell ref="F64:F83"/>
    <mergeCell ref="A42:A63"/>
    <mergeCell ref="B42:B63"/>
    <mergeCell ref="E42:E63"/>
    <mergeCell ref="A64:A83"/>
    <mergeCell ref="B64:B83"/>
    <mergeCell ref="E64:E83"/>
    <mergeCell ref="B2:B21"/>
    <mergeCell ref="E2:E21"/>
    <mergeCell ref="A22:A41"/>
    <mergeCell ref="B22:B41"/>
    <mergeCell ref="E22:E41"/>
    <mergeCell ref="A2:A21"/>
  </mergeCells>
  <conditionalFormatting sqref="D2:D21">
    <cfRule type="top10" dxfId="58" priority="6" rank="10"/>
  </conditionalFormatting>
  <conditionalFormatting sqref="D22:D41">
    <cfRule type="top10" dxfId="57" priority="4" rank="10"/>
  </conditionalFormatting>
  <conditionalFormatting sqref="F2">
    <cfRule type="top10" dxfId="56" priority="3" rank="10"/>
  </conditionalFormatting>
  <conditionalFormatting sqref="F22">
    <cfRule type="top10" dxfId="55" priority="2" rank="1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174B-C471-4A8E-A569-E674A0845CB0}">
  <dimension ref="A1:G81"/>
  <sheetViews>
    <sheetView topLeftCell="A22" zoomScale="139" zoomScaleNormal="139" workbookViewId="0">
      <selection activeCell="D28" sqref="D28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5</v>
      </c>
      <c r="B2" s="22" t="s">
        <v>9</v>
      </c>
      <c r="C2" s="1">
        <v>1</v>
      </c>
      <c r="D2" s="3">
        <v>1.81177350386232E-3</v>
      </c>
      <c r="E2" s="23">
        <f>AVERAGE(D2:D21)</f>
        <v>1.7959470008830347E-3</v>
      </c>
      <c r="F2" s="18">
        <f>AVERAGE(D2:D6,D8:D11,D16)</f>
        <v>1.8314548945283532E-3</v>
      </c>
    </row>
    <row r="3" spans="1:6" x14ac:dyDescent="0.3">
      <c r="A3" s="22"/>
      <c r="B3" s="22"/>
      <c r="C3" s="1">
        <v>2</v>
      </c>
      <c r="D3" s="3">
        <v>1.8148006812720001E-3</v>
      </c>
      <c r="E3" s="23"/>
      <c r="F3" s="19"/>
    </row>
    <row r="4" spans="1:6" x14ac:dyDescent="0.3">
      <c r="A4" s="22"/>
      <c r="B4" s="22"/>
      <c r="C4" s="1">
        <v>3</v>
      </c>
      <c r="D4" s="13">
        <v>1.9192099019838601E-3</v>
      </c>
      <c r="E4" s="23"/>
      <c r="F4" s="19"/>
    </row>
    <row r="5" spans="1:6" x14ac:dyDescent="0.3">
      <c r="A5" s="22"/>
      <c r="B5" s="22"/>
      <c r="C5" s="1">
        <v>4</v>
      </c>
      <c r="D5" s="3">
        <v>1.79743309038328E-3</v>
      </c>
      <c r="E5" s="23"/>
      <c r="F5" s="19"/>
    </row>
    <row r="6" spans="1:6" x14ac:dyDescent="0.3">
      <c r="A6" s="22"/>
      <c r="B6" s="22"/>
      <c r="C6" s="1">
        <v>5</v>
      </c>
      <c r="D6" s="3">
        <v>1.81473244825032E-3</v>
      </c>
      <c r="E6" s="23"/>
      <c r="F6" s="19"/>
    </row>
    <row r="7" spans="1:6" x14ac:dyDescent="0.3">
      <c r="A7" s="22"/>
      <c r="B7" s="22"/>
      <c r="C7" s="1">
        <v>6</v>
      </c>
      <c r="D7" s="3">
        <v>1.7655544363974901E-3</v>
      </c>
      <c r="E7" s="23"/>
      <c r="F7" s="19"/>
    </row>
    <row r="8" spans="1:6" x14ac:dyDescent="0.3">
      <c r="A8" s="22"/>
      <c r="B8" s="22"/>
      <c r="C8" s="1">
        <v>7</v>
      </c>
      <c r="D8" s="3">
        <v>1.8292592457589301E-3</v>
      </c>
      <c r="E8" s="23"/>
      <c r="F8" s="19"/>
    </row>
    <row r="9" spans="1:6" x14ac:dyDescent="0.3">
      <c r="A9" s="22"/>
      <c r="B9" s="22"/>
      <c r="C9" s="1">
        <v>8</v>
      </c>
      <c r="D9" s="3">
        <v>1.8682265640655E-3</v>
      </c>
      <c r="E9" s="23"/>
      <c r="F9" s="19"/>
    </row>
    <row r="10" spans="1:6" x14ac:dyDescent="0.3">
      <c r="A10" s="22"/>
      <c r="B10" s="22"/>
      <c r="C10" s="1">
        <v>9</v>
      </c>
      <c r="D10" s="3">
        <v>1.87493088160664E-3</v>
      </c>
      <c r="E10" s="23"/>
      <c r="F10" s="19"/>
    </row>
    <row r="11" spans="1:6" x14ac:dyDescent="0.3">
      <c r="A11" s="22"/>
      <c r="B11" s="22"/>
      <c r="C11" s="1">
        <v>10</v>
      </c>
      <c r="D11" s="3">
        <v>1.79981277503543E-3</v>
      </c>
      <c r="E11" s="23"/>
      <c r="F11" s="19"/>
    </row>
    <row r="12" spans="1:6" x14ac:dyDescent="0.3">
      <c r="A12" s="22"/>
      <c r="B12" s="22"/>
      <c r="C12" s="1">
        <v>11</v>
      </c>
      <c r="D12" s="3">
        <v>1.6285214462332901E-3</v>
      </c>
      <c r="E12" s="23"/>
      <c r="F12" s="19"/>
    </row>
    <row r="13" spans="1:6" x14ac:dyDescent="0.3">
      <c r="A13" s="22"/>
      <c r="B13" s="22"/>
      <c r="C13" s="1">
        <v>12</v>
      </c>
      <c r="D13" s="3">
        <v>1.72431917895846E-3</v>
      </c>
      <c r="E13" s="23"/>
      <c r="F13" s="19"/>
    </row>
    <row r="14" spans="1:6" x14ac:dyDescent="0.3">
      <c r="A14" s="22"/>
      <c r="B14" s="22"/>
      <c r="C14" s="1">
        <v>13</v>
      </c>
      <c r="D14" s="3">
        <v>1.7444806162926099E-3</v>
      </c>
      <c r="E14" s="23"/>
      <c r="F14" s="19"/>
    </row>
    <row r="15" spans="1:6" x14ac:dyDescent="0.3">
      <c r="A15" s="22"/>
      <c r="B15" s="22"/>
      <c r="C15" s="1">
        <v>14</v>
      </c>
      <c r="D15" s="3">
        <v>1.76178039008014E-3</v>
      </c>
      <c r="E15" s="23"/>
      <c r="F15" s="19"/>
    </row>
    <row r="16" spans="1:6" x14ac:dyDescent="0.3">
      <c r="A16" s="22"/>
      <c r="B16" s="22"/>
      <c r="C16" s="1">
        <v>15</v>
      </c>
      <c r="D16" s="3">
        <v>1.78436985306525E-3</v>
      </c>
      <c r="E16" s="23"/>
      <c r="F16" s="19"/>
    </row>
    <row r="17" spans="1:6" x14ac:dyDescent="0.3">
      <c r="A17" s="22"/>
      <c r="B17" s="22"/>
      <c r="C17" s="1">
        <v>16</v>
      </c>
      <c r="D17" s="3"/>
      <c r="E17" s="23"/>
      <c r="F17" s="19"/>
    </row>
    <row r="18" spans="1:6" x14ac:dyDescent="0.3">
      <c r="A18" s="22"/>
      <c r="B18" s="22"/>
      <c r="C18" s="1">
        <v>17</v>
      </c>
      <c r="D18" s="3"/>
      <c r="E18" s="23"/>
      <c r="F18" s="19"/>
    </row>
    <row r="19" spans="1:6" x14ac:dyDescent="0.3">
      <c r="A19" s="22"/>
      <c r="B19" s="22"/>
      <c r="C19" s="1">
        <v>18</v>
      </c>
      <c r="D19" s="3"/>
      <c r="E19" s="23"/>
      <c r="F19" s="19"/>
    </row>
    <row r="20" spans="1:6" x14ac:dyDescent="0.3">
      <c r="A20" s="22"/>
      <c r="B20" s="22"/>
      <c r="C20" s="1">
        <v>19</v>
      </c>
      <c r="D20" s="3"/>
      <c r="E20" s="23"/>
      <c r="F20" s="19"/>
    </row>
    <row r="21" spans="1:6" x14ac:dyDescent="0.3">
      <c r="A21" s="22"/>
      <c r="B21" s="22"/>
      <c r="C21" s="1">
        <v>20</v>
      </c>
      <c r="D21" s="3"/>
      <c r="E21" s="23"/>
      <c r="F21" s="20"/>
    </row>
    <row r="22" spans="1:6" x14ac:dyDescent="0.3">
      <c r="A22" s="22" t="s">
        <v>5</v>
      </c>
      <c r="B22" s="22" t="s">
        <v>10</v>
      </c>
      <c r="C22" s="1">
        <v>1</v>
      </c>
      <c r="D22" s="3">
        <v>1.22745404238443E-3</v>
      </c>
      <c r="E22" s="23">
        <f>AVERAGE(D22:D41)</f>
        <v>1.0396084713082136E-3</v>
      </c>
      <c r="F22" s="18">
        <f>AVERAGE(D22:D28,D30,D34,D36)</f>
        <v>1.1751538277684059E-3</v>
      </c>
    </row>
    <row r="23" spans="1:6" x14ac:dyDescent="0.3">
      <c r="A23" s="22"/>
      <c r="B23" s="22"/>
      <c r="C23" s="1">
        <v>2</v>
      </c>
      <c r="D23" s="3">
        <v>1.2128989821674999E-3</v>
      </c>
      <c r="E23" s="23"/>
      <c r="F23" s="19"/>
    </row>
    <row r="24" spans="1:6" x14ac:dyDescent="0.3">
      <c r="A24" s="22"/>
      <c r="B24" s="22"/>
      <c r="C24" s="1">
        <v>3</v>
      </c>
      <c r="D24" s="3">
        <v>1.2072314178239499E-3</v>
      </c>
      <c r="E24" s="23"/>
      <c r="F24" s="19"/>
    </row>
    <row r="25" spans="1:6" x14ac:dyDescent="0.3">
      <c r="A25" s="22"/>
      <c r="B25" s="22"/>
      <c r="C25" s="1">
        <v>4</v>
      </c>
      <c r="D25" s="3">
        <v>1.2932873130527701E-3</v>
      </c>
      <c r="E25" s="23"/>
      <c r="F25" s="19"/>
    </row>
    <row r="26" spans="1:6" x14ac:dyDescent="0.3">
      <c r="A26" s="22"/>
      <c r="B26" s="22"/>
      <c r="C26" s="1">
        <v>5</v>
      </c>
      <c r="D26" s="3">
        <v>1.22977847712741E-3</v>
      </c>
      <c r="E26" s="23"/>
      <c r="F26" s="19"/>
    </row>
    <row r="27" spans="1:6" x14ac:dyDescent="0.3">
      <c r="A27" s="22"/>
      <c r="B27" s="22"/>
      <c r="C27" s="1">
        <v>6</v>
      </c>
      <c r="D27" s="3">
        <v>1.3025872216186299E-3</v>
      </c>
      <c r="E27" s="23"/>
      <c r="F27" s="19"/>
    </row>
    <row r="28" spans="1:6" x14ac:dyDescent="0.3">
      <c r="A28" s="22"/>
      <c r="B28" s="22"/>
      <c r="C28" s="1">
        <v>7</v>
      </c>
      <c r="D28" s="13">
        <v>1.31460119291109E-3</v>
      </c>
      <c r="E28" s="23"/>
      <c r="F28" s="19"/>
    </row>
    <row r="29" spans="1:6" x14ac:dyDescent="0.3">
      <c r="A29" s="22"/>
      <c r="B29" s="22"/>
      <c r="C29" s="1">
        <v>8</v>
      </c>
      <c r="D29" s="3">
        <v>6.5370694203719098E-4</v>
      </c>
      <c r="E29" s="23"/>
      <c r="F29" s="19"/>
    </row>
    <row r="30" spans="1:6" x14ac:dyDescent="0.3">
      <c r="A30" s="22"/>
      <c r="B30" s="22"/>
      <c r="C30" s="1">
        <v>9</v>
      </c>
      <c r="D30" s="3">
        <v>9.4895394338624303E-4</v>
      </c>
      <c r="E30" s="23"/>
      <c r="F30" s="19"/>
    </row>
    <row r="31" spans="1:6" x14ac:dyDescent="0.3">
      <c r="A31" s="22"/>
      <c r="B31" s="22"/>
      <c r="C31" s="1">
        <v>10</v>
      </c>
      <c r="D31" s="3">
        <v>7.3742461215116502E-4</v>
      </c>
      <c r="E31" s="23"/>
      <c r="F31" s="19"/>
    </row>
    <row r="32" spans="1:6" x14ac:dyDescent="0.3">
      <c r="A32" s="22"/>
      <c r="B32" s="22"/>
      <c r="C32" s="1">
        <v>11</v>
      </c>
      <c r="D32" s="3">
        <v>7.6866612718044195E-4</v>
      </c>
      <c r="E32" s="23"/>
      <c r="F32" s="19"/>
    </row>
    <row r="33" spans="1:6" x14ac:dyDescent="0.3">
      <c r="A33" s="22"/>
      <c r="B33" s="22"/>
      <c r="C33" s="1">
        <v>12</v>
      </c>
      <c r="D33" s="3">
        <v>8.8623270175297597E-4</v>
      </c>
      <c r="E33" s="23"/>
      <c r="F33" s="19"/>
    </row>
    <row r="34" spans="1:6" x14ac:dyDescent="0.3">
      <c r="A34" s="22"/>
      <c r="B34" s="22"/>
      <c r="C34" s="1">
        <v>13</v>
      </c>
      <c r="D34" s="3">
        <v>1.1282395797383501E-3</v>
      </c>
      <c r="E34" s="23"/>
      <c r="F34" s="19"/>
    </row>
    <row r="35" spans="1:6" x14ac:dyDescent="0.3">
      <c r="A35" s="22"/>
      <c r="B35" s="22"/>
      <c r="C35" s="1">
        <v>14</v>
      </c>
      <c r="D35" s="3">
        <v>7.9655840881736998E-4</v>
      </c>
      <c r="E35" s="23"/>
      <c r="F35" s="19"/>
    </row>
    <row r="36" spans="1:6" x14ac:dyDescent="0.3">
      <c r="A36" s="22"/>
      <c r="B36" s="22"/>
      <c r="C36" s="1">
        <v>15</v>
      </c>
      <c r="D36" s="3">
        <v>8.86506107473686E-4</v>
      </c>
      <c r="E36" s="23"/>
      <c r="F36" s="19"/>
    </row>
    <row r="37" spans="1:6" x14ac:dyDescent="0.3">
      <c r="A37" s="22"/>
      <c r="B37" s="22"/>
      <c r="C37" s="1">
        <v>16</v>
      </c>
      <c r="D37" s="3"/>
      <c r="E37" s="23"/>
      <c r="F37" s="19"/>
    </row>
    <row r="38" spans="1:6" x14ac:dyDescent="0.3">
      <c r="A38" s="22"/>
      <c r="B38" s="22"/>
      <c r="C38" s="1">
        <v>17</v>
      </c>
      <c r="D38" s="3"/>
      <c r="E38" s="23"/>
      <c r="F38" s="19"/>
    </row>
    <row r="39" spans="1:6" x14ac:dyDescent="0.3">
      <c r="A39" s="22"/>
      <c r="B39" s="22"/>
      <c r="C39" s="1">
        <v>18</v>
      </c>
      <c r="D39" s="3"/>
      <c r="E39" s="23"/>
      <c r="F39" s="19"/>
    </row>
    <row r="40" spans="1:6" x14ac:dyDescent="0.3">
      <c r="A40" s="22"/>
      <c r="B40" s="22"/>
      <c r="C40" s="1">
        <v>19</v>
      </c>
      <c r="D40" s="3"/>
      <c r="E40" s="23"/>
      <c r="F40" s="19"/>
    </row>
    <row r="41" spans="1:6" x14ac:dyDescent="0.3">
      <c r="A41" s="22"/>
      <c r="B41" s="22"/>
      <c r="C41" s="1">
        <v>20</v>
      </c>
      <c r="D41" s="3"/>
      <c r="E41" s="23"/>
      <c r="F41" s="20"/>
    </row>
    <row r="42" spans="1:6" x14ac:dyDescent="0.3">
      <c r="A42" s="22" t="s">
        <v>5</v>
      </c>
      <c r="B42" s="22" t="s">
        <v>20</v>
      </c>
      <c r="C42" s="1">
        <v>1</v>
      </c>
      <c r="D42" s="3">
        <v>7.2837430705559596E-4</v>
      </c>
      <c r="E42" s="23">
        <f>AVERAGE(D42:D61)</f>
        <v>9.3942836160821241E-4</v>
      </c>
      <c r="F42" s="18">
        <f>AVERAGE(D42:D47,D51:D52,D59,D61)</f>
        <v>8.1398993005932945E-4</v>
      </c>
    </row>
    <row r="43" spans="1:6" x14ac:dyDescent="0.3">
      <c r="A43" s="22"/>
      <c r="B43" s="22"/>
      <c r="C43" s="1">
        <v>2</v>
      </c>
      <c r="D43" s="3">
        <v>8.4607791428294903E-4</v>
      </c>
      <c r="E43" s="23"/>
      <c r="F43" s="19"/>
    </row>
    <row r="44" spans="1:6" x14ac:dyDescent="0.3">
      <c r="A44" s="22"/>
      <c r="B44" s="22"/>
      <c r="C44" s="1">
        <v>3</v>
      </c>
      <c r="D44" s="3">
        <v>8.6882802551990898E-4</v>
      </c>
      <c r="E44" s="23"/>
      <c r="F44" s="19"/>
    </row>
    <row r="45" spans="1:6" x14ac:dyDescent="0.3">
      <c r="A45" s="22"/>
      <c r="B45" s="22"/>
      <c r="C45" s="1">
        <v>4</v>
      </c>
      <c r="D45" s="3">
        <v>8.6728801473186397E-4</v>
      </c>
      <c r="E45" s="23"/>
      <c r="F45" s="19"/>
    </row>
    <row r="46" spans="1:6" x14ac:dyDescent="0.3">
      <c r="A46" s="22"/>
      <c r="B46" s="22"/>
      <c r="C46" s="1">
        <v>5</v>
      </c>
      <c r="D46" s="3">
        <v>7.7904478042610005E-4</v>
      </c>
      <c r="E46" s="23"/>
      <c r="F46" s="19"/>
    </row>
    <row r="47" spans="1:6" x14ac:dyDescent="0.3">
      <c r="A47" s="22"/>
      <c r="B47" s="22"/>
      <c r="C47" s="1">
        <v>6</v>
      </c>
      <c r="D47" s="3">
        <v>9.2900543855691799E-4</v>
      </c>
      <c r="E47" s="23"/>
      <c r="F47" s="19"/>
    </row>
    <row r="48" spans="1:6" x14ac:dyDescent="0.3">
      <c r="A48" s="22"/>
      <c r="B48" s="22"/>
      <c r="C48" s="1">
        <v>7</v>
      </c>
      <c r="D48" s="3">
        <v>1.2615741751790201E-3</v>
      </c>
      <c r="E48" s="23"/>
      <c r="F48" s="19"/>
    </row>
    <row r="49" spans="1:6" x14ac:dyDescent="0.3">
      <c r="A49" s="22"/>
      <c r="B49" s="22"/>
      <c r="C49" s="1">
        <v>8</v>
      </c>
      <c r="D49" s="3">
        <v>1.06939764152111E-3</v>
      </c>
      <c r="E49" s="23"/>
      <c r="F49" s="19"/>
    </row>
    <row r="50" spans="1:6" x14ac:dyDescent="0.3">
      <c r="A50" s="22"/>
      <c r="B50" s="22"/>
      <c r="C50" s="1">
        <v>9</v>
      </c>
      <c r="D50" s="3">
        <v>9.7021590959237101E-4</v>
      </c>
      <c r="E50" s="23"/>
      <c r="F50" s="19"/>
    </row>
    <row r="51" spans="1:6" x14ac:dyDescent="0.3">
      <c r="A51" s="22"/>
      <c r="B51" s="22"/>
      <c r="C51" s="1">
        <v>10</v>
      </c>
      <c r="D51" s="3">
        <v>9.2769582628270304E-4</v>
      </c>
      <c r="E51" s="23"/>
      <c r="F51" s="19"/>
    </row>
    <row r="52" spans="1:6" x14ac:dyDescent="0.3">
      <c r="A52" s="22"/>
      <c r="B52" s="22"/>
      <c r="C52" s="1">
        <v>11</v>
      </c>
      <c r="D52" s="3">
        <v>9.4669778345507895E-4</v>
      </c>
      <c r="E52" s="23"/>
      <c r="F52" s="19"/>
    </row>
    <row r="53" spans="1:6" x14ac:dyDescent="0.3">
      <c r="A53" s="22"/>
      <c r="B53" s="22"/>
      <c r="C53" s="1">
        <v>12</v>
      </c>
      <c r="D53" s="3">
        <v>1.00990100961522E-3</v>
      </c>
      <c r="E53" s="23"/>
      <c r="F53" s="19"/>
    </row>
    <row r="54" spans="1:6" x14ac:dyDescent="0.3">
      <c r="A54" s="22"/>
      <c r="B54" s="22"/>
      <c r="C54" s="1">
        <v>13</v>
      </c>
      <c r="D54" s="3">
        <v>9.9005436558675204E-4</v>
      </c>
      <c r="E54" s="23"/>
      <c r="F54" s="19"/>
    </row>
    <row r="55" spans="1:6" x14ac:dyDescent="0.3">
      <c r="A55" s="22"/>
      <c r="B55" s="22"/>
      <c r="C55" s="1">
        <v>14</v>
      </c>
      <c r="D55" s="3">
        <v>1.07585808806672E-3</v>
      </c>
      <c r="E55" s="23"/>
      <c r="F55" s="19"/>
    </row>
    <row r="56" spans="1:6" x14ac:dyDescent="0.3">
      <c r="A56" s="22"/>
      <c r="B56" s="22"/>
      <c r="C56" s="1">
        <v>15</v>
      </c>
      <c r="D56" s="3">
        <v>1.13767442655503E-3</v>
      </c>
      <c r="E56" s="23"/>
      <c r="F56" s="19"/>
    </row>
    <row r="57" spans="1:6" x14ac:dyDescent="0.3">
      <c r="A57" s="22"/>
      <c r="B57" s="22"/>
      <c r="C57" s="1">
        <v>16</v>
      </c>
      <c r="D57" s="3">
        <v>1.03747697438056E-3</v>
      </c>
      <c r="E57" s="23"/>
      <c r="F57" s="19"/>
    </row>
    <row r="58" spans="1:6" x14ac:dyDescent="0.3">
      <c r="A58" s="22"/>
      <c r="B58" s="22"/>
      <c r="C58" s="1">
        <v>17</v>
      </c>
      <c r="D58" s="3">
        <v>1.14830186220033E-3</v>
      </c>
      <c r="E58" s="23"/>
      <c r="F58" s="19"/>
    </row>
    <row r="59" spans="1:6" x14ac:dyDescent="0.3">
      <c r="A59" s="22"/>
      <c r="B59" s="22"/>
      <c r="C59" s="1">
        <v>18</v>
      </c>
      <c r="D59" s="3">
        <v>6.8235983672783101E-4</v>
      </c>
      <c r="E59" s="23"/>
      <c r="F59" s="19"/>
    </row>
    <row r="60" spans="1:6" x14ac:dyDescent="0.3">
      <c r="A60" s="22"/>
      <c r="B60" s="22"/>
      <c r="C60" s="1">
        <v>19</v>
      </c>
      <c r="D60" s="3">
        <v>9.4821347887384102E-4</v>
      </c>
      <c r="E60" s="23"/>
      <c r="F60" s="19"/>
    </row>
    <row r="61" spans="1:6" x14ac:dyDescent="0.3">
      <c r="A61" s="22"/>
      <c r="B61" s="22"/>
      <c r="C61" s="1">
        <v>20</v>
      </c>
      <c r="D61" s="3">
        <v>5.6452737355434501E-4</v>
      </c>
      <c r="E61" s="23"/>
      <c r="F61" s="20"/>
    </row>
    <row r="62" spans="1:6" x14ac:dyDescent="0.3">
      <c r="A62" s="22" t="s">
        <v>5</v>
      </c>
      <c r="B62" s="22" t="s">
        <v>21</v>
      </c>
      <c r="C62" s="1">
        <v>1</v>
      </c>
      <c r="D62" s="3">
        <v>9.1128680440702296E-4</v>
      </c>
      <c r="E62" s="23">
        <f>AVERAGE(D62:D81)</f>
        <v>9.5272984985395948E-4</v>
      </c>
      <c r="F62" s="18">
        <f>AVERAGE(D62,D66:D68,D70:D73,D77,D81)</f>
        <v>4.7281813475591374E-4</v>
      </c>
    </row>
    <row r="63" spans="1:6" x14ac:dyDescent="0.3">
      <c r="A63" s="22"/>
      <c r="B63" s="22"/>
      <c r="C63" s="1">
        <v>2</v>
      </c>
      <c r="D63" s="3">
        <v>1.4683539980228999E-3</v>
      </c>
      <c r="E63" s="23"/>
      <c r="F63" s="19"/>
    </row>
    <row r="64" spans="1:6" x14ac:dyDescent="0.3">
      <c r="A64" s="22"/>
      <c r="B64" s="22"/>
      <c r="C64" s="1">
        <v>3</v>
      </c>
      <c r="D64" s="3">
        <v>1.6343507071946001E-3</v>
      </c>
      <c r="E64" s="23"/>
      <c r="F64" s="19"/>
    </row>
    <row r="65" spans="1:6" x14ac:dyDescent="0.3">
      <c r="A65" s="22"/>
      <c r="B65" s="22"/>
      <c r="C65" s="1">
        <v>4</v>
      </c>
      <c r="D65" s="3">
        <v>1.20977681426497E-3</v>
      </c>
      <c r="E65" s="23"/>
      <c r="F65" s="19"/>
    </row>
    <row r="66" spans="1:6" x14ac:dyDescent="0.3">
      <c r="A66" s="22"/>
      <c r="B66" s="22"/>
      <c r="C66" s="1">
        <v>5</v>
      </c>
      <c r="D66" s="3">
        <v>5.8142701679629399E-4</v>
      </c>
      <c r="E66" s="23"/>
      <c r="F66" s="19"/>
    </row>
    <row r="67" spans="1:6" x14ac:dyDescent="0.3">
      <c r="A67" s="22"/>
      <c r="B67" s="22"/>
      <c r="C67" s="1">
        <v>6</v>
      </c>
      <c r="D67" s="3">
        <v>1.60321717730762E-4</v>
      </c>
      <c r="E67" s="23"/>
      <c r="F67" s="19"/>
    </row>
    <row r="68" spans="1:6" x14ac:dyDescent="0.3">
      <c r="A68" s="22"/>
      <c r="B68" s="22"/>
      <c r="C68" s="1">
        <v>7</v>
      </c>
      <c r="D68" s="3">
        <v>7.4779050881008296E-4</v>
      </c>
      <c r="E68" s="23"/>
      <c r="F68" s="19"/>
    </row>
    <row r="69" spans="1:6" x14ac:dyDescent="0.3">
      <c r="A69" s="22"/>
      <c r="B69" s="22"/>
      <c r="C69" s="1">
        <v>8</v>
      </c>
      <c r="D69" s="3">
        <v>1.52770895491985E-3</v>
      </c>
      <c r="E69" s="23"/>
      <c r="F69" s="19"/>
    </row>
    <row r="70" spans="1:6" x14ac:dyDescent="0.3">
      <c r="A70" s="22"/>
      <c r="B70" s="22"/>
      <c r="C70" s="1">
        <v>9</v>
      </c>
      <c r="D70" s="3">
        <v>8.6027219762045592E-6</v>
      </c>
      <c r="E70" s="23"/>
      <c r="F70" s="19"/>
    </row>
    <row r="71" spans="1:6" x14ac:dyDescent="0.3">
      <c r="A71" s="22"/>
      <c r="B71" s="22"/>
      <c r="C71" s="1">
        <v>10</v>
      </c>
      <c r="D71" s="3">
        <v>8.8286393758491098E-4</v>
      </c>
      <c r="E71" s="23"/>
      <c r="F71" s="19"/>
    </row>
    <row r="72" spans="1:6" x14ac:dyDescent="0.3">
      <c r="A72" s="22"/>
      <c r="B72" s="22"/>
      <c r="C72" s="1">
        <v>11</v>
      </c>
      <c r="D72" s="3">
        <v>6.4453391140332301E-4</v>
      </c>
      <c r="E72" s="23"/>
      <c r="F72" s="19"/>
    </row>
    <row r="73" spans="1:6" x14ac:dyDescent="0.3">
      <c r="A73" s="22"/>
      <c r="B73" s="22"/>
      <c r="C73" s="1">
        <v>12</v>
      </c>
      <c r="D73" s="3">
        <v>4.3678505857632399E-4</v>
      </c>
      <c r="E73" s="23"/>
      <c r="F73" s="19"/>
    </row>
    <row r="74" spans="1:6" x14ac:dyDescent="0.3">
      <c r="A74" s="22"/>
      <c r="B74" s="22"/>
      <c r="C74" s="1">
        <v>13</v>
      </c>
      <c r="D74" s="3">
        <v>1.9099989509070399E-3</v>
      </c>
      <c r="E74" s="23"/>
      <c r="F74" s="19"/>
    </row>
    <row r="75" spans="1:6" x14ac:dyDescent="0.3">
      <c r="A75" s="22"/>
      <c r="B75" s="22"/>
      <c r="C75" s="1">
        <v>14</v>
      </c>
      <c r="D75" s="3">
        <v>1.00141512844318E-3</v>
      </c>
      <c r="E75" s="23"/>
      <c r="F75" s="19"/>
    </row>
    <row r="76" spans="1:6" x14ac:dyDescent="0.3">
      <c r="A76" s="22"/>
      <c r="B76" s="22"/>
      <c r="C76" s="1">
        <v>15</v>
      </c>
      <c r="D76" s="3">
        <v>2.0372532554325802E-3</v>
      </c>
      <c r="E76" s="23"/>
      <c r="F76" s="19"/>
    </row>
    <row r="77" spans="1:6" x14ac:dyDescent="0.3">
      <c r="A77" s="22"/>
      <c r="B77" s="22"/>
      <c r="C77" s="1">
        <v>16</v>
      </c>
      <c r="D77" s="3">
        <v>1.2934721450619E-5</v>
      </c>
      <c r="E77" s="23"/>
      <c r="F77" s="19"/>
    </row>
    <row r="78" spans="1:6" x14ac:dyDescent="0.3">
      <c r="A78" s="22"/>
      <c r="B78" s="22"/>
      <c r="C78" s="1">
        <v>17</v>
      </c>
      <c r="D78" s="3">
        <v>9.3129254966411903E-4</v>
      </c>
      <c r="E78" s="23"/>
      <c r="F78" s="19"/>
    </row>
    <row r="79" spans="1:6" x14ac:dyDescent="0.3">
      <c r="A79" s="22"/>
      <c r="B79" s="22"/>
      <c r="C79" s="1">
        <v>18</v>
      </c>
      <c r="D79" s="3">
        <v>1.14262491577763E-3</v>
      </c>
      <c r="E79" s="23"/>
      <c r="F79" s="19"/>
    </row>
    <row r="80" spans="1:6" x14ac:dyDescent="0.3">
      <c r="A80" s="22"/>
      <c r="B80" s="22"/>
      <c r="C80" s="1">
        <v>19</v>
      </c>
      <c r="D80" s="3">
        <v>1.4636403748931801E-3</v>
      </c>
      <c r="E80" s="23"/>
      <c r="F80" s="19"/>
    </row>
    <row r="81" spans="1:6" x14ac:dyDescent="0.3">
      <c r="A81" s="22"/>
      <c r="B81" s="22"/>
      <c r="C81" s="1">
        <v>20</v>
      </c>
      <c r="D81" s="3">
        <v>3.41634948823595E-4</v>
      </c>
      <c r="E81" s="23"/>
      <c r="F81" s="20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16">
    <cfRule type="top10" dxfId="54" priority="10" rank="10"/>
  </conditionalFormatting>
  <conditionalFormatting sqref="D22:D36">
    <cfRule type="top10" dxfId="53" priority="9" rank="10"/>
  </conditionalFormatting>
  <conditionalFormatting sqref="D42:D61">
    <cfRule type="top10" dxfId="52" priority="8" bottom="1" rank="10"/>
  </conditionalFormatting>
  <conditionalFormatting sqref="F2">
    <cfRule type="top10" dxfId="51" priority="5" rank="10"/>
  </conditionalFormatting>
  <conditionalFormatting sqref="F22">
    <cfRule type="top10" dxfId="50" priority="4" rank="10"/>
  </conditionalFormatting>
  <conditionalFormatting sqref="F42">
    <cfRule type="top10" dxfId="49" priority="3" bottom="1" rank="10"/>
  </conditionalFormatting>
  <conditionalFormatting sqref="D62:D81">
    <cfRule type="top10" dxfId="48" priority="2" bottom="1" rank="10"/>
  </conditionalFormatting>
  <conditionalFormatting sqref="F62">
    <cfRule type="top10" dxfId="47" priority="1" bottom="1" rank="10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EE0D-5FCF-4410-B029-D5CEFA04EE6D}">
  <dimension ref="A1:G84"/>
  <sheetViews>
    <sheetView zoomScale="164" zoomScaleNormal="164" workbookViewId="0">
      <selection activeCell="D84" sqref="D84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5</v>
      </c>
      <c r="B2" s="22" t="s">
        <v>9</v>
      </c>
      <c r="C2" s="1">
        <v>1</v>
      </c>
      <c r="D2" s="3">
        <v>3.0978240498613701E-3</v>
      </c>
      <c r="E2" s="23">
        <f>AVERAGE(D2:D21)</f>
        <v>3.1563454979149051E-3</v>
      </c>
      <c r="F2" s="18">
        <f>AVERAGE(D3,D5,D8,D11,D15,D17,D18,D19,D20,D21)</f>
        <v>3.1958624441633318E-3</v>
      </c>
    </row>
    <row r="3" spans="1:6" x14ac:dyDescent="0.3">
      <c r="A3" s="22"/>
      <c r="B3" s="22"/>
      <c r="C3" s="1">
        <v>2</v>
      </c>
      <c r="D3" s="3">
        <v>3.2009432953445998E-3</v>
      </c>
      <c r="E3" s="23"/>
      <c r="F3" s="19"/>
    </row>
    <row r="4" spans="1:6" x14ac:dyDescent="0.3">
      <c r="A4" s="22"/>
      <c r="B4" s="22"/>
      <c r="C4" s="1">
        <v>3</v>
      </c>
      <c r="D4" s="3">
        <v>3.1579264804642302E-3</v>
      </c>
      <c r="E4" s="23"/>
      <c r="F4" s="19"/>
    </row>
    <row r="5" spans="1:6" x14ac:dyDescent="0.3">
      <c r="A5" s="22"/>
      <c r="B5" s="22"/>
      <c r="C5" s="1">
        <v>4</v>
      </c>
      <c r="D5" s="3">
        <v>3.21297026733342E-3</v>
      </c>
      <c r="E5" s="23"/>
      <c r="F5" s="19"/>
    </row>
    <row r="6" spans="1:6" x14ac:dyDescent="0.3">
      <c r="A6" s="22"/>
      <c r="B6" s="22"/>
      <c r="C6" s="1">
        <v>5</v>
      </c>
      <c r="D6" s="3">
        <v>3.11623672818373E-3</v>
      </c>
      <c r="E6" s="23"/>
      <c r="F6" s="19"/>
    </row>
    <row r="7" spans="1:6" x14ac:dyDescent="0.3">
      <c r="A7" s="22"/>
      <c r="B7" s="22"/>
      <c r="C7" s="1">
        <v>6</v>
      </c>
      <c r="D7" s="3">
        <v>3.1017103904343898E-3</v>
      </c>
      <c r="E7" s="23"/>
      <c r="F7" s="19"/>
    </row>
    <row r="8" spans="1:6" x14ac:dyDescent="0.3">
      <c r="A8" s="22"/>
      <c r="B8" s="22"/>
      <c r="C8" s="1">
        <v>7</v>
      </c>
      <c r="D8" s="3">
        <v>3.1680537066117501E-3</v>
      </c>
      <c r="E8" s="23"/>
      <c r="F8" s="19"/>
    </row>
    <row r="9" spans="1:6" x14ac:dyDescent="0.3">
      <c r="A9" s="22"/>
      <c r="B9" s="22"/>
      <c r="C9" s="1">
        <v>8</v>
      </c>
      <c r="D9" s="3">
        <v>3.1231260670666499E-3</v>
      </c>
      <c r="E9" s="23"/>
      <c r="F9" s="19"/>
    </row>
    <row r="10" spans="1:6" x14ac:dyDescent="0.3">
      <c r="A10" s="22"/>
      <c r="B10" s="22"/>
      <c r="C10" s="1">
        <v>9</v>
      </c>
      <c r="D10" s="3">
        <v>3.0871044892398E-3</v>
      </c>
      <c r="E10" s="23"/>
      <c r="F10" s="19"/>
    </row>
    <row r="11" spans="1:6" x14ac:dyDescent="0.3">
      <c r="A11" s="22"/>
      <c r="B11" s="22"/>
      <c r="C11" s="1">
        <v>10</v>
      </c>
      <c r="D11" s="3">
        <v>3.1837766954712298E-3</v>
      </c>
      <c r="E11" s="23"/>
      <c r="F11" s="19"/>
    </row>
    <row r="12" spans="1:6" x14ac:dyDescent="0.3">
      <c r="A12" s="22"/>
      <c r="B12" s="22"/>
      <c r="C12" s="1">
        <v>11</v>
      </c>
      <c r="D12" s="3">
        <v>3.1490137271207299E-3</v>
      </c>
      <c r="E12" s="23"/>
      <c r="F12" s="19"/>
    </row>
    <row r="13" spans="1:6" x14ac:dyDescent="0.3">
      <c r="A13" s="22"/>
      <c r="B13" s="22"/>
      <c r="C13" s="1">
        <v>12</v>
      </c>
      <c r="D13" s="3">
        <v>3.0895495975651402E-3</v>
      </c>
      <c r="E13" s="23"/>
      <c r="F13" s="19"/>
    </row>
    <row r="14" spans="1:6" x14ac:dyDescent="0.3">
      <c r="A14" s="22"/>
      <c r="B14" s="22"/>
      <c r="C14" s="1">
        <v>13</v>
      </c>
      <c r="D14" s="3">
        <v>3.0828146980759301E-3</v>
      </c>
      <c r="E14" s="23"/>
      <c r="F14" s="19"/>
    </row>
    <row r="15" spans="1:6" x14ac:dyDescent="0.3">
      <c r="A15" s="22"/>
      <c r="B15" s="22"/>
      <c r="C15" s="1">
        <v>14</v>
      </c>
      <c r="D15" s="3">
        <v>3.1749190655984499E-3</v>
      </c>
      <c r="E15" s="23"/>
      <c r="F15" s="19"/>
    </row>
    <row r="16" spans="1:6" x14ac:dyDescent="0.3">
      <c r="A16" s="22"/>
      <c r="B16" s="22"/>
      <c r="C16" s="1">
        <v>15</v>
      </c>
      <c r="D16" s="3">
        <v>3.1629792886528102E-3</v>
      </c>
      <c r="E16" s="23"/>
      <c r="F16" s="19"/>
    </row>
    <row r="17" spans="1:6" x14ac:dyDescent="0.3">
      <c r="A17" s="22"/>
      <c r="B17" s="22"/>
      <c r="C17" s="1">
        <v>16</v>
      </c>
      <c r="D17" s="3">
        <v>3.1931833688853802E-3</v>
      </c>
      <c r="E17" s="23"/>
      <c r="F17" s="19"/>
    </row>
    <row r="18" spans="1:6" x14ac:dyDescent="0.3">
      <c r="A18" s="22"/>
      <c r="B18" s="22"/>
      <c r="C18" s="1">
        <v>17</v>
      </c>
      <c r="D18" s="3">
        <v>3.1783585315260398E-3</v>
      </c>
      <c r="E18" s="23"/>
      <c r="F18" s="19"/>
    </row>
    <row r="19" spans="1:6" x14ac:dyDescent="0.3">
      <c r="A19" s="22"/>
      <c r="B19" s="22"/>
      <c r="C19" s="1">
        <v>18</v>
      </c>
      <c r="D19" s="3">
        <v>3.2214171091285199E-3</v>
      </c>
      <c r="E19" s="23"/>
      <c r="F19" s="19"/>
    </row>
    <row r="20" spans="1:6" x14ac:dyDescent="0.3">
      <c r="A20" s="22"/>
      <c r="B20" s="22"/>
      <c r="C20" s="1">
        <v>19</v>
      </c>
      <c r="D20" s="3">
        <v>3.2610083682040902E-3</v>
      </c>
      <c r="E20" s="23"/>
      <c r="F20" s="19"/>
    </row>
    <row r="21" spans="1:6" x14ac:dyDescent="0.3">
      <c r="A21" s="22"/>
      <c r="B21" s="22"/>
      <c r="C21" s="1">
        <v>20</v>
      </c>
      <c r="D21" s="3">
        <v>3.1639940335298402E-3</v>
      </c>
      <c r="E21" s="23"/>
      <c r="F21" s="20"/>
    </row>
    <row r="22" spans="1:6" x14ac:dyDescent="0.3">
      <c r="A22" s="22" t="s">
        <v>5</v>
      </c>
      <c r="B22" s="22" t="s">
        <v>10</v>
      </c>
      <c r="C22" s="1">
        <v>1</v>
      </c>
      <c r="D22" s="3">
        <v>5.3620058092532696E-4</v>
      </c>
      <c r="E22" s="23">
        <f>AVERAGE(D22:D41)</f>
        <v>4.9034341319012184E-4</v>
      </c>
      <c r="F22" s="18">
        <f>AVERAGE(D22:D23,D26,D31:D32,D36:D37,D39:D41)</f>
        <v>5.0517263350162802E-4</v>
      </c>
    </row>
    <row r="23" spans="1:6" x14ac:dyDescent="0.3">
      <c r="A23" s="22"/>
      <c r="B23" s="22"/>
      <c r="C23" s="1">
        <v>2</v>
      </c>
      <c r="D23" s="3">
        <v>4.9067443495337396E-4</v>
      </c>
      <c r="E23" s="23"/>
      <c r="F23" s="19"/>
    </row>
    <row r="24" spans="1:6" x14ac:dyDescent="0.3">
      <c r="A24" s="22"/>
      <c r="B24" s="22"/>
      <c r="C24" s="1">
        <v>3</v>
      </c>
      <c r="D24" s="3">
        <v>4.8274026235112602E-4</v>
      </c>
      <c r="E24" s="23"/>
      <c r="F24" s="19"/>
    </row>
    <row r="25" spans="1:6" x14ac:dyDescent="0.3">
      <c r="A25" s="22"/>
      <c r="B25" s="22"/>
      <c r="C25" s="1">
        <v>4</v>
      </c>
      <c r="D25" s="3">
        <v>4.4905621092078499E-4</v>
      </c>
      <c r="E25" s="23"/>
      <c r="F25" s="19"/>
    </row>
    <row r="26" spans="1:6" x14ac:dyDescent="0.3">
      <c r="A26" s="22"/>
      <c r="B26" s="22"/>
      <c r="C26" s="1">
        <v>5</v>
      </c>
      <c r="D26" s="3">
        <v>5.1592484645380599E-4</v>
      </c>
      <c r="E26" s="23"/>
      <c r="F26" s="19"/>
    </row>
    <row r="27" spans="1:6" x14ac:dyDescent="0.3">
      <c r="A27" s="22"/>
      <c r="B27" s="22"/>
      <c r="C27" s="1">
        <v>6</v>
      </c>
      <c r="D27" s="3">
        <v>4.73706253041544E-4</v>
      </c>
      <c r="E27" s="23"/>
      <c r="F27" s="19"/>
    </row>
    <row r="28" spans="1:6" x14ac:dyDescent="0.3">
      <c r="A28" s="22"/>
      <c r="B28" s="22"/>
      <c r="C28" s="1">
        <v>7</v>
      </c>
      <c r="D28" s="3">
        <v>4.8693322669276303E-4</v>
      </c>
      <c r="E28" s="23"/>
      <c r="F28" s="19"/>
    </row>
    <row r="29" spans="1:6" x14ac:dyDescent="0.3">
      <c r="A29" s="22"/>
      <c r="B29" s="22"/>
      <c r="C29" s="1">
        <v>8</v>
      </c>
      <c r="D29" s="3">
        <v>4.7942464368844499E-4</v>
      </c>
      <c r="E29" s="23"/>
      <c r="F29" s="19"/>
    </row>
    <row r="30" spans="1:6" x14ac:dyDescent="0.3">
      <c r="A30" s="22"/>
      <c r="B30" s="22"/>
      <c r="C30" s="1">
        <v>9</v>
      </c>
      <c r="D30" s="3">
        <v>4.7979506413700699E-4</v>
      </c>
      <c r="E30" s="23"/>
      <c r="F30" s="19"/>
    </row>
    <row r="31" spans="1:6" x14ac:dyDescent="0.3">
      <c r="A31" s="22"/>
      <c r="B31" s="22"/>
      <c r="C31" s="1">
        <v>10</v>
      </c>
      <c r="D31" s="3">
        <v>5.1296010715081396E-4</v>
      </c>
      <c r="E31" s="23"/>
      <c r="F31" s="19"/>
    </row>
    <row r="32" spans="1:6" x14ac:dyDescent="0.3">
      <c r="A32" s="22"/>
      <c r="B32" s="22"/>
      <c r="C32" s="1">
        <v>11</v>
      </c>
      <c r="D32" s="3">
        <v>4.9216958449097698E-4</v>
      </c>
      <c r="E32" s="23"/>
      <c r="F32" s="19"/>
    </row>
    <row r="33" spans="1:6" x14ac:dyDescent="0.3">
      <c r="A33" s="22"/>
      <c r="B33" s="22"/>
      <c r="C33" s="1">
        <v>12</v>
      </c>
      <c r="D33" s="3">
        <v>4.7693767900378899E-4</v>
      </c>
      <c r="E33" s="23"/>
      <c r="F33" s="19"/>
    </row>
    <row r="34" spans="1:6" x14ac:dyDescent="0.3">
      <c r="A34" s="22"/>
      <c r="B34" s="22"/>
      <c r="C34" s="1">
        <v>13</v>
      </c>
      <c r="D34" s="3">
        <v>4.8081431395237298E-4</v>
      </c>
      <c r="E34" s="23"/>
      <c r="F34" s="19"/>
    </row>
    <row r="35" spans="1:6" x14ac:dyDescent="0.3">
      <c r="A35" s="22"/>
      <c r="B35" s="22"/>
      <c r="C35" s="1">
        <v>14</v>
      </c>
      <c r="D35" s="3">
        <v>4.6625232922799898E-4</v>
      </c>
      <c r="E35" s="23"/>
      <c r="F35" s="19"/>
    </row>
    <row r="36" spans="1:6" x14ac:dyDescent="0.3">
      <c r="A36" s="22"/>
      <c r="B36" s="22"/>
      <c r="C36" s="1">
        <v>15</v>
      </c>
      <c r="D36" s="3">
        <v>4.9613894416534099E-4</v>
      </c>
      <c r="E36" s="23"/>
      <c r="F36" s="19"/>
    </row>
    <row r="37" spans="1:6" x14ac:dyDescent="0.3">
      <c r="A37" s="22"/>
      <c r="B37" s="22"/>
      <c r="C37" s="1">
        <v>16</v>
      </c>
      <c r="D37" s="3">
        <v>5.0908324423255802E-4</v>
      </c>
      <c r="E37" s="23"/>
      <c r="F37" s="19"/>
    </row>
    <row r="38" spans="1:6" x14ac:dyDescent="0.3">
      <c r="A38" s="22"/>
      <c r="B38" s="22"/>
      <c r="C38" s="1">
        <v>17</v>
      </c>
      <c r="D38" s="3">
        <v>4.7948194577032699E-4</v>
      </c>
      <c r="E38" s="23"/>
      <c r="F38" s="19"/>
    </row>
    <row r="39" spans="1:6" x14ac:dyDescent="0.3">
      <c r="A39" s="22"/>
      <c r="B39" s="22"/>
      <c r="C39" s="1">
        <v>18</v>
      </c>
      <c r="D39" s="3">
        <v>4.9708175920040298E-4</v>
      </c>
      <c r="E39" s="23"/>
      <c r="F39" s="19"/>
    </row>
    <row r="40" spans="1:6" x14ac:dyDescent="0.3">
      <c r="A40" s="22"/>
      <c r="B40" s="22"/>
      <c r="C40" s="1">
        <v>19</v>
      </c>
      <c r="D40" s="3">
        <v>4.8796962016209902E-4</v>
      </c>
      <c r="E40" s="23"/>
      <c r="F40" s="19"/>
    </row>
    <row r="41" spans="1:6" x14ac:dyDescent="0.3">
      <c r="A41" s="22"/>
      <c r="B41" s="22"/>
      <c r="C41" s="1">
        <v>20</v>
      </c>
      <c r="D41" s="3">
        <v>5.1352321328158098E-4</v>
      </c>
      <c r="E41" s="23"/>
      <c r="F41" s="20"/>
    </row>
    <row r="42" spans="1:6" x14ac:dyDescent="0.3">
      <c r="A42" s="22" t="s">
        <v>5</v>
      </c>
      <c r="B42" s="22" t="s">
        <v>20</v>
      </c>
      <c r="C42" s="1">
        <v>1</v>
      </c>
      <c r="D42" s="3">
        <v>4.7450533056738598E-4</v>
      </c>
      <c r="E42" s="23">
        <f>AVERAGE(D42:D61)</f>
        <v>4.9518087121661102E-4</v>
      </c>
      <c r="F42" s="18">
        <f>AVERAGE(D42:D44,D49,D52:D53,D55,D57:D58,D60)</f>
        <v>4.7550142037897032E-4</v>
      </c>
    </row>
    <row r="43" spans="1:6" x14ac:dyDescent="0.3">
      <c r="A43" s="22"/>
      <c r="B43" s="22"/>
      <c r="C43" s="1">
        <v>2</v>
      </c>
      <c r="D43" s="3">
        <v>4.48898127203229E-4</v>
      </c>
      <c r="E43" s="23"/>
      <c r="F43" s="19"/>
    </row>
    <row r="44" spans="1:6" x14ac:dyDescent="0.3">
      <c r="A44" s="22"/>
      <c r="B44" s="22"/>
      <c r="C44" s="1">
        <v>3</v>
      </c>
      <c r="D44" s="3">
        <v>4.8975663088243802E-4</v>
      </c>
      <c r="E44" s="23"/>
      <c r="F44" s="19"/>
    </row>
    <row r="45" spans="1:6" x14ac:dyDescent="0.3">
      <c r="A45" s="22"/>
      <c r="B45" s="22"/>
      <c r="C45" s="1">
        <v>4</v>
      </c>
      <c r="D45" s="3">
        <v>5.1409628584040399E-4</v>
      </c>
      <c r="E45" s="23"/>
      <c r="F45" s="19"/>
    </row>
    <row r="46" spans="1:6" x14ac:dyDescent="0.3">
      <c r="A46" s="22"/>
      <c r="B46" s="22"/>
      <c r="C46" s="1">
        <v>5</v>
      </c>
      <c r="D46" s="3">
        <v>5.0419697243202298E-4</v>
      </c>
      <c r="E46" s="23"/>
      <c r="F46" s="19"/>
    </row>
    <row r="47" spans="1:6" x14ac:dyDescent="0.3">
      <c r="A47" s="22"/>
      <c r="B47" s="22"/>
      <c r="C47" s="1">
        <v>6</v>
      </c>
      <c r="D47" s="3">
        <v>5.1302186162947697E-4</v>
      </c>
      <c r="E47" s="23"/>
      <c r="F47" s="19"/>
    </row>
    <row r="48" spans="1:6" x14ac:dyDescent="0.3">
      <c r="A48" s="22"/>
      <c r="B48" s="22"/>
      <c r="C48" s="1">
        <v>7</v>
      </c>
      <c r="D48" s="3">
        <v>5.15007109778121E-4</v>
      </c>
      <c r="E48" s="23"/>
      <c r="F48" s="19"/>
    </row>
    <row r="49" spans="1:6" x14ac:dyDescent="0.3">
      <c r="A49" s="22"/>
      <c r="B49" s="22"/>
      <c r="C49" s="1">
        <v>8</v>
      </c>
      <c r="D49" s="3">
        <v>4.9144822252606497E-4</v>
      </c>
      <c r="E49" s="23"/>
      <c r="F49" s="19"/>
    </row>
    <row r="50" spans="1:6" x14ac:dyDescent="0.3">
      <c r="A50" s="22"/>
      <c r="B50" s="22"/>
      <c r="C50" s="1">
        <v>9</v>
      </c>
      <c r="D50" s="3">
        <v>5.2696605308688799E-4</v>
      </c>
      <c r="E50" s="23"/>
      <c r="F50" s="19"/>
    </row>
    <row r="51" spans="1:6" x14ac:dyDescent="0.3">
      <c r="A51" s="22"/>
      <c r="B51" s="22"/>
      <c r="C51" s="1">
        <v>10</v>
      </c>
      <c r="D51" s="3">
        <v>5.3197903006485102E-4</v>
      </c>
      <c r="E51" s="23"/>
      <c r="F51" s="19"/>
    </row>
    <row r="52" spans="1:6" x14ac:dyDescent="0.3">
      <c r="A52" s="22"/>
      <c r="B52" s="22"/>
      <c r="C52" s="1">
        <v>11</v>
      </c>
      <c r="D52" s="3">
        <v>4.9968828335491297E-4</v>
      </c>
      <c r="E52" s="23"/>
      <c r="F52" s="19"/>
    </row>
    <row r="53" spans="1:6" x14ac:dyDescent="0.3">
      <c r="A53" s="22"/>
      <c r="B53" s="22"/>
      <c r="C53" s="1">
        <v>12</v>
      </c>
      <c r="D53" s="3">
        <v>4.7063199623675699E-4</v>
      </c>
      <c r="E53" s="23"/>
      <c r="F53" s="19"/>
    </row>
    <row r="54" spans="1:6" x14ac:dyDescent="0.3">
      <c r="A54" s="22"/>
      <c r="B54" s="22"/>
      <c r="C54" s="1">
        <v>13</v>
      </c>
      <c r="D54" s="3">
        <v>5.11065730498944E-4</v>
      </c>
      <c r="E54" s="23"/>
      <c r="F54" s="19"/>
    </row>
    <row r="55" spans="1:6" x14ac:dyDescent="0.3">
      <c r="A55" s="22"/>
      <c r="B55" s="22"/>
      <c r="C55" s="1">
        <v>14</v>
      </c>
      <c r="D55" s="3">
        <v>4.8510444527276802E-4</v>
      </c>
      <c r="E55" s="23"/>
      <c r="F55" s="19"/>
    </row>
    <row r="56" spans="1:6" x14ac:dyDescent="0.3">
      <c r="A56" s="22"/>
      <c r="B56" s="22"/>
      <c r="C56" s="1">
        <v>15</v>
      </c>
      <c r="D56" s="3">
        <v>5.1222185484092004E-4</v>
      </c>
      <c r="E56" s="23"/>
      <c r="F56" s="19"/>
    </row>
    <row r="57" spans="1:6" x14ac:dyDescent="0.3">
      <c r="A57" s="22"/>
      <c r="B57" s="22"/>
      <c r="C57" s="1">
        <v>16</v>
      </c>
      <c r="D57" s="3">
        <v>4.73755015797482E-4</v>
      </c>
      <c r="E57" s="23"/>
      <c r="F57" s="19"/>
    </row>
    <row r="58" spans="1:6" x14ac:dyDescent="0.3">
      <c r="A58" s="22"/>
      <c r="B58" s="22"/>
      <c r="C58" s="1">
        <v>17</v>
      </c>
      <c r="D58" s="3">
        <v>4.2321035980401198E-4</v>
      </c>
      <c r="E58" s="23"/>
      <c r="F58" s="19"/>
    </row>
    <row r="59" spans="1:6" x14ac:dyDescent="0.3">
      <c r="A59" s="22"/>
      <c r="B59" s="22"/>
      <c r="C59" s="1">
        <v>18</v>
      </c>
      <c r="D59" s="3">
        <v>5.1827376578583804E-4</v>
      </c>
      <c r="E59" s="23"/>
      <c r="F59" s="19"/>
    </row>
    <row r="60" spans="1:6" x14ac:dyDescent="0.3">
      <c r="A60" s="22"/>
      <c r="B60" s="22"/>
      <c r="C60" s="1">
        <v>19</v>
      </c>
      <c r="D60" s="3">
        <v>4.9801579214465302E-4</v>
      </c>
      <c r="E60" s="23"/>
      <c r="F60" s="19"/>
    </row>
    <row r="61" spans="1:6" x14ac:dyDescent="0.3">
      <c r="A61" s="22"/>
      <c r="B61" s="22"/>
      <c r="C61" s="1">
        <v>20</v>
      </c>
      <c r="D61" s="3">
        <v>5.0177455658505102E-4</v>
      </c>
      <c r="E61" s="23"/>
      <c r="F61" s="20"/>
    </row>
    <row r="62" spans="1:6" x14ac:dyDescent="0.3">
      <c r="A62" s="22" t="s">
        <v>5</v>
      </c>
      <c r="B62" s="22" t="s">
        <v>21</v>
      </c>
      <c r="C62" s="1">
        <v>1</v>
      </c>
      <c r="D62" s="5">
        <v>8.4261252722877902E-5</v>
      </c>
      <c r="E62" s="23">
        <f>AVERAGE(D62:D84)</f>
        <v>1.9796222257608179E-4</v>
      </c>
      <c r="F62" s="24">
        <f>AVERAGE(D62:D63,D67,D70:D71,D74,D77:D79,D81)</f>
        <v>1.8785073577573329E-4</v>
      </c>
    </row>
    <row r="63" spans="1:6" x14ac:dyDescent="0.3">
      <c r="A63" s="22"/>
      <c r="B63" s="22"/>
      <c r="C63" s="1">
        <v>2</v>
      </c>
      <c r="D63" s="5">
        <v>2.8513611841457601E-4</v>
      </c>
      <c r="E63" s="23"/>
      <c r="F63" s="24"/>
    </row>
    <row r="64" spans="1:6" x14ac:dyDescent="0.3">
      <c r="A64" s="22"/>
      <c r="B64" s="22"/>
      <c r="C64" s="1">
        <v>3</v>
      </c>
      <c r="D64" s="3">
        <v>5.0230047639008798E-5</v>
      </c>
      <c r="E64" s="23"/>
      <c r="F64" s="24"/>
    </row>
    <row r="65" spans="1:6" x14ac:dyDescent="0.3">
      <c r="A65" s="22"/>
      <c r="B65" s="22"/>
      <c r="C65" s="1">
        <v>4</v>
      </c>
      <c r="D65" s="3">
        <v>2.07883333440807E-5</v>
      </c>
      <c r="E65" s="23"/>
      <c r="F65" s="24"/>
    </row>
    <row r="66" spans="1:6" x14ac:dyDescent="0.3">
      <c r="A66" s="22"/>
      <c r="B66" s="22"/>
      <c r="C66" s="1">
        <v>5</v>
      </c>
      <c r="D66" s="3">
        <v>1.8828346608490698E-5</v>
      </c>
      <c r="E66" s="23"/>
      <c r="F66" s="24"/>
    </row>
    <row r="67" spans="1:6" x14ac:dyDescent="0.3">
      <c r="A67" s="22"/>
      <c r="B67" s="22"/>
      <c r="C67" s="1">
        <v>6</v>
      </c>
      <c r="D67" s="5">
        <v>1.9055804285282501E-4</v>
      </c>
      <c r="E67" s="23"/>
      <c r="F67" s="24"/>
    </row>
    <row r="68" spans="1:6" x14ac:dyDescent="0.3">
      <c r="A68" s="22"/>
      <c r="B68" s="22"/>
      <c r="C68" s="1">
        <v>7</v>
      </c>
      <c r="D68" s="3">
        <v>1.10822498225231E-7</v>
      </c>
      <c r="E68" s="23"/>
      <c r="F68" s="24"/>
    </row>
    <row r="69" spans="1:6" x14ac:dyDescent="0.3">
      <c r="A69" s="22"/>
      <c r="B69" s="22"/>
      <c r="C69" s="1">
        <v>8</v>
      </c>
      <c r="D69" s="3">
        <v>1.1675693782395699E-3</v>
      </c>
      <c r="E69" s="23"/>
      <c r="F69" s="24"/>
    </row>
    <row r="70" spans="1:6" x14ac:dyDescent="0.3">
      <c r="A70" s="22"/>
      <c r="B70" s="22"/>
      <c r="C70" s="1">
        <v>9</v>
      </c>
      <c r="D70" s="5">
        <v>1.14594778365366E-4</v>
      </c>
      <c r="E70" s="23"/>
      <c r="F70" s="24"/>
    </row>
    <row r="71" spans="1:6" x14ac:dyDescent="0.3">
      <c r="A71" s="22"/>
      <c r="B71" s="22"/>
      <c r="C71" s="1">
        <v>10</v>
      </c>
      <c r="D71" s="5">
        <v>2.6680757261041702E-4</v>
      </c>
      <c r="E71" s="23"/>
      <c r="F71" s="24"/>
    </row>
    <row r="72" spans="1:6" x14ac:dyDescent="0.3">
      <c r="A72" s="22"/>
      <c r="B72" s="22"/>
      <c r="C72" s="1">
        <v>11</v>
      </c>
      <c r="D72" s="3">
        <v>2.8320894052666702E-5</v>
      </c>
      <c r="E72" s="23"/>
      <c r="F72" s="24"/>
    </row>
    <row r="73" spans="1:6" x14ac:dyDescent="0.3">
      <c r="A73" s="22"/>
      <c r="B73" s="22"/>
      <c r="C73" s="1">
        <v>12</v>
      </c>
      <c r="D73" s="3">
        <v>6.3205634573781997E-4</v>
      </c>
      <c r="E73" s="23"/>
      <c r="F73" s="24"/>
    </row>
    <row r="74" spans="1:6" x14ac:dyDescent="0.3">
      <c r="A74" s="22"/>
      <c r="B74" s="22"/>
      <c r="C74" s="1">
        <v>13</v>
      </c>
      <c r="D74" s="3">
        <v>9.6446725711436994E-5</v>
      </c>
      <c r="E74" s="23"/>
      <c r="F74" s="24"/>
    </row>
    <row r="75" spans="1:6" x14ac:dyDescent="0.3">
      <c r="A75" s="22"/>
      <c r="B75" s="22"/>
      <c r="C75" s="1">
        <v>14</v>
      </c>
      <c r="D75" s="3">
        <v>4.6417520891202699E-4</v>
      </c>
      <c r="E75" s="23"/>
      <c r="F75" s="24"/>
    </row>
    <row r="76" spans="1:6" x14ac:dyDescent="0.3">
      <c r="A76" s="22"/>
      <c r="B76" s="22"/>
      <c r="C76" s="1">
        <v>15</v>
      </c>
      <c r="D76" s="3">
        <v>2.2112568939252201E-5</v>
      </c>
      <c r="E76" s="23"/>
      <c r="F76" s="24"/>
    </row>
    <row r="77" spans="1:6" x14ac:dyDescent="0.3">
      <c r="A77" s="22"/>
      <c r="B77" s="22"/>
      <c r="C77" s="1">
        <v>16</v>
      </c>
      <c r="D77" s="5">
        <v>3.1302763264424798E-4</v>
      </c>
      <c r="E77" s="23"/>
      <c r="F77" s="24"/>
    </row>
    <row r="78" spans="1:6" x14ac:dyDescent="0.3">
      <c r="A78" s="22"/>
      <c r="B78" s="22"/>
      <c r="C78" s="1">
        <v>17</v>
      </c>
      <c r="D78" s="5">
        <v>1.5868389007219001E-4</v>
      </c>
      <c r="E78" s="23"/>
      <c r="F78" s="24"/>
    </row>
    <row r="79" spans="1:6" x14ac:dyDescent="0.3">
      <c r="A79" s="22"/>
      <c r="B79" s="22"/>
      <c r="C79" s="1">
        <v>18</v>
      </c>
      <c r="D79" s="5">
        <v>1.7871466278123599E-4</v>
      </c>
      <c r="E79" s="23"/>
      <c r="F79" s="24"/>
    </row>
    <row r="80" spans="1:6" x14ac:dyDescent="0.3">
      <c r="A80" s="22"/>
      <c r="B80" s="22"/>
      <c r="C80" s="1">
        <v>19</v>
      </c>
      <c r="D80" s="3">
        <v>3.5077273787226597E-5</v>
      </c>
      <c r="E80" s="23"/>
      <c r="F80" s="24"/>
    </row>
    <row r="81" spans="1:6" x14ac:dyDescent="0.3">
      <c r="A81" s="22"/>
      <c r="B81" s="22"/>
      <c r="C81" s="1">
        <v>20</v>
      </c>
      <c r="D81" s="5">
        <v>1.9027668158216001E-4</v>
      </c>
      <c r="E81" s="23"/>
      <c r="F81" s="24"/>
    </row>
    <row r="82" spans="1:6" x14ac:dyDescent="0.3">
      <c r="A82" s="22"/>
      <c r="B82" s="22"/>
      <c r="C82" s="1">
        <v>21</v>
      </c>
      <c r="D82" s="3">
        <v>3.1559956392708702E-5</v>
      </c>
      <c r="E82" s="23"/>
      <c r="F82" s="24"/>
    </row>
    <row r="83" spans="1:6" x14ac:dyDescent="0.3">
      <c r="A83" s="22"/>
      <c r="B83" s="22"/>
      <c r="C83" s="1">
        <v>22</v>
      </c>
      <c r="D83" s="3">
        <v>1.07763081188141E-5</v>
      </c>
      <c r="E83" s="23"/>
      <c r="F83" s="24"/>
    </row>
    <row r="84" spans="1:6" x14ac:dyDescent="0.3">
      <c r="A84" s="22"/>
      <c r="B84" s="22"/>
      <c r="C84" s="1">
        <v>23</v>
      </c>
      <c r="D84" s="5">
        <v>1.9301827722265701E-4</v>
      </c>
      <c r="E84" s="23"/>
      <c r="F84" s="24"/>
    </row>
  </sheetData>
  <mergeCells count="16">
    <mergeCell ref="F2:F21"/>
    <mergeCell ref="F22:F41"/>
    <mergeCell ref="F42:F61"/>
    <mergeCell ref="F62:F84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4"/>
    <mergeCell ref="B62:B84"/>
    <mergeCell ref="E62:E84"/>
  </mergeCells>
  <conditionalFormatting sqref="D2:D21">
    <cfRule type="top10" dxfId="46" priority="8" rank="10"/>
  </conditionalFormatting>
  <conditionalFormatting sqref="D22:D41">
    <cfRule type="top10" dxfId="45" priority="7" rank="10"/>
  </conditionalFormatting>
  <conditionalFormatting sqref="D42:D61">
    <cfRule type="top10" dxfId="44" priority="6" bottom="1" rank="10"/>
  </conditionalFormatting>
  <conditionalFormatting sqref="F2">
    <cfRule type="top10" dxfId="43" priority="4" rank="10"/>
  </conditionalFormatting>
  <conditionalFormatting sqref="F22">
    <cfRule type="top10" dxfId="42" priority="3" rank="10"/>
  </conditionalFormatting>
  <conditionalFormatting sqref="F42">
    <cfRule type="top10" dxfId="41" priority="2" bottom="1" rank="10"/>
  </conditionalFormatting>
  <conditionalFormatting sqref="F62">
    <cfRule type="top10" dxfId="40" priority="1" bottom="1" rank="10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54F0-CDCC-4625-B331-2BAE43124203}">
  <dimension ref="A1:G83"/>
  <sheetViews>
    <sheetView topLeftCell="A20" zoomScale="127" zoomScaleNormal="127" workbookViewId="0">
      <selection activeCell="B22" sqref="B22:B4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6</v>
      </c>
      <c r="B2" s="22" t="s">
        <v>9</v>
      </c>
      <c r="C2" s="1">
        <v>1</v>
      </c>
      <c r="D2" s="3">
        <v>6.8494550335423199E-3</v>
      </c>
      <c r="E2" s="23">
        <f>AVERAGE(D2:D21)</f>
        <v>7.0918391765205065E-3</v>
      </c>
      <c r="F2" s="18">
        <f>AVERAGE(D3:D4,D6:D9,D11,D15,D18:D19)</f>
        <v>7.5275681230601741E-3</v>
      </c>
    </row>
    <row r="3" spans="1:6" x14ac:dyDescent="0.3">
      <c r="A3" s="22"/>
      <c r="B3" s="22"/>
      <c r="C3" s="1">
        <v>2</v>
      </c>
      <c r="D3" s="3">
        <v>7.7222014481316001E-3</v>
      </c>
      <c r="E3" s="23"/>
      <c r="F3" s="19"/>
    </row>
    <row r="4" spans="1:6" x14ac:dyDescent="0.3">
      <c r="A4" s="22"/>
      <c r="B4" s="22"/>
      <c r="C4" s="1">
        <v>3</v>
      </c>
      <c r="D4" s="3">
        <v>7.4276032951078701E-3</v>
      </c>
      <c r="E4" s="23"/>
      <c r="F4" s="19"/>
    </row>
    <row r="5" spans="1:6" x14ac:dyDescent="0.3">
      <c r="A5" s="22"/>
      <c r="B5" s="22"/>
      <c r="C5" s="1">
        <v>4</v>
      </c>
      <c r="D5" s="3">
        <v>6.9163642363323698E-3</v>
      </c>
      <c r="E5" s="23"/>
      <c r="F5" s="19"/>
    </row>
    <row r="6" spans="1:6" x14ac:dyDescent="0.3">
      <c r="A6" s="22"/>
      <c r="B6" s="22"/>
      <c r="C6" s="1">
        <v>5</v>
      </c>
      <c r="D6" s="3">
        <v>7.1247468487415202E-3</v>
      </c>
      <c r="E6" s="23"/>
      <c r="F6" s="19"/>
    </row>
    <row r="7" spans="1:6" x14ac:dyDescent="0.3">
      <c r="A7" s="22"/>
      <c r="B7" s="22"/>
      <c r="C7" s="1">
        <v>6</v>
      </c>
      <c r="D7" s="13">
        <v>7.9683523176790998E-3</v>
      </c>
      <c r="E7" s="23"/>
      <c r="F7" s="19"/>
    </row>
    <row r="8" spans="1:6" x14ac:dyDescent="0.3">
      <c r="A8" s="22"/>
      <c r="B8" s="22"/>
      <c r="C8" s="1">
        <v>7</v>
      </c>
      <c r="D8" s="3">
        <v>7.1325304703669396E-3</v>
      </c>
      <c r="E8" s="23"/>
      <c r="F8" s="19"/>
    </row>
    <row r="9" spans="1:6" x14ac:dyDescent="0.3">
      <c r="A9" s="22"/>
      <c r="B9" s="22"/>
      <c r="C9" s="1">
        <v>8</v>
      </c>
      <c r="D9" s="3">
        <v>7.6723666731501597E-3</v>
      </c>
      <c r="E9" s="23"/>
      <c r="F9" s="19"/>
    </row>
    <row r="10" spans="1:6" x14ac:dyDescent="0.3">
      <c r="A10" s="22"/>
      <c r="B10" s="22"/>
      <c r="C10" s="1">
        <v>9</v>
      </c>
      <c r="D10" s="3">
        <v>6.44864466466859E-3</v>
      </c>
      <c r="E10" s="23"/>
      <c r="F10" s="19"/>
    </row>
    <row r="11" spans="1:6" x14ac:dyDescent="0.3">
      <c r="A11" s="22"/>
      <c r="B11" s="22"/>
      <c r="C11" s="1">
        <v>10</v>
      </c>
      <c r="D11" s="3">
        <v>7.1998086663083299E-3</v>
      </c>
      <c r="E11" s="23"/>
      <c r="F11" s="19"/>
    </row>
    <row r="12" spans="1:6" x14ac:dyDescent="0.3">
      <c r="A12" s="22"/>
      <c r="B12" s="22"/>
      <c r="C12" s="1">
        <v>11</v>
      </c>
      <c r="D12" s="3">
        <v>6.8408648336931201E-3</v>
      </c>
      <c r="E12" s="23"/>
      <c r="F12" s="19"/>
    </row>
    <row r="13" spans="1:6" x14ac:dyDescent="0.3">
      <c r="A13" s="22"/>
      <c r="B13" s="22"/>
      <c r="C13" s="1">
        <v>12</v>
      </c>
      <c r="D13" s="3">
        <v>6.8814324682569903E-3</v>
      </c>
      <c r="E13" s="23"/>
      <c r="F13" s="19"/>
    </row>
    <row r="14" spans="1:6" x14ac:dyDescent="0.3">
      <c r="A14" s="22"/>
      <c r="B14" s="22"/>
      <c r="C14" s="1">
        <v>13</v>
      </c>
      <c r="D14" s="3">
        <v>6.3697274436861897E-3</v>
      </c>
      <c r="E14" s="23"/>
      <c r="F14" s="19"/>
    </row>
    <row r="15" spans="1:6" x14ac:dyDescent="0.3">
      <c r="A15" s="22"/>
      <c r="B15" s="22"/>
      <c r="C15" s="1">
        <v>14</v>
      </c>
      <c r="D15" s="3">
        <v>7.61589698193122E-3</v>
      </c>
      <c r="E15" s="23"/>
      <c r="F15" s="19"/>
    </row>
    <row r="16" spans="1:6" x14ac:dyDescent="0.3">
      <c r="A16" s="22"/>
      <c r="B16" s="22"/>
      <c r="C16" s="1">
        <v>15</v>
      </c>
      <c r="D16" s="3">
        <v>7.0268300176353302E-3</v>
      </c>
      <c r="E16" s="23"/>
      <c r="F16" s="19"/>
    </row>
    <row r="17" spans="1:6" x14ac:dyDescent="0.3">
      <c r="A17" s="22"/>
      <c r="B17" s="22"/>
      <c r="C17" s="1">
        <v>16</v>
      </c>
      <c r="D17" s="3">
        <v>6.8828583810696398E-3</v>
      </c>
      <c r="E17" s="23"/>
      <c r="F17" s="19"/>
    </row>
    <row r="18" spans="1:6" x14ac:dyDescent="0.3">
      <c r="A18" s="22"/>
      <c r="B18" s="22"/>
      <c r="C18" s="1">
        <v>17</v>
      </c>
      <c r="D18" s="3">
        <v>7.5946920303030597E-3</v>
      </c>
      <c r="E18" s="23"/>
      <c r="F18" s="19"/>
    </row>
    <row r="19" spans="1:6" x14ac:dyDescent="0.3">
      <c r="A19" s="22"/>
      <c r="B19" s="22"/>
      <c r="C19" s="1">
        <v>18</v>
      </c>
      <c r="D19" s="3">
        <v>7.8174824988819398E-3</v>
      </c>
      <c r="E19" s="23"/>
      <c r="F19" s="19"/>
    </row>
    <row r="20" spans="1:6" x14ac:dyDescent="0.3">
      <c r="A20" s="22"/>
      <c r="B20" s="22"/>
      <c r="C20" s="1">
        <v>19</v>
      </c>
      <c r="D20" s="3">
        <v>6.5736147010191396E-3</v>
      </c>
      <c r="E20" s="23"/>
      <c r="F20" s="19"/>
    </row>
    <row r="21" spans="1:6" x14ac:dyDescent="0.3">
      <c r="A21" s="22"/>
      <c r="B21" s="22"/>
      <c r="C21" s="1">
        <v>20</v>
      </c>
      <c r="D21" s="3">
        <v>5.7713105199046896E-3</v>
      </c>
      <c r="E21" s="23"/>
      <c r="F21" s="20"/>
    </row>
    <row r="22" spans="1:6" x14ac:dyDescent="0.3">
      <c r="A22" s="22" t="s">
        <v>6</v>
      </c>
      <c r="B22" s="22" t="s">
        <v>10</v>
      </c>
      <c r="C22" s="1">
        <v>1</v>
      </c>
      <c r="D22" s="3">
        <v>4.4059430113216501E-3</v>
      </c>
      <c r="E22" s="23">
        <f>AVERAGE(D22:D41)</f>
        <v>5.3183658635870337E-3</v>
      </c>
      <c r="F22" s="18">
        <f>AVERAGE(D23,D25,D28,D30:D32,D35,D37:D38,D40)</f>
        <v>6.4253359390769359E-3</v>
      </c>
    </row>
    <row r="23" spans="1:6" x14ac:dyDescent="0.3">
      <c r="A23" s="22"/>
      <c r="B23" s="22"/>
      <c r="C23" s="1">
        <v>2</v>
      </c>
      <c r="D23" s="3">
        <v>6.0285373262784596E-3</v>
      </c>
      <c r="E23" s="23"/>
      <c r="F23" s="19"/>
    </row>
    <row r="24" spans="1:6" x14ac:dyDescent="0.3">
      <c r="A24" s="22"/>
      <c r="B24" s="22"/>
      <c r="C24" s="1">
        <v>3</v>
      </c>
      <c r="D24" s="3">
        <v>4.6542086132795998E-3</v>
      </c>
      <c r="E24" s="23"/>
      <c r="F24" s="19"/>
    </row>
    <row r="25" spans="1:6" x14ac:dyDescent="0.3">
      <c r="A25" s="22"/>
      <c r="B25" s="22"/>
      <c r="C25" s="1">
        <v>4</v>
      </c>
      <c r="D25" s="3">
        <v>5.4842343524997596E-3</v>
      </c>
      <c r="E25" s="23"/>
      <c r="F25" s="19"/>
    </row>
    <row r="26" spans="1:6" x14ac:dyDescent="0.3">
      <c r="A26" s="22"/>
      <c r="B26" s="22"/>
      <c r="C26" s="1">
        <v>5</v>
      </c>
      <c r="D26" s="3">
        <v>5.2386490268761304E-3</v>
      </c>
      <c r="E26" s="23"/>
      <c r="F26" s="19"/>
    </row>
    <row r="27" spans="1:6" x14ac:dyDescent="0.3">
      <c r="A27" s="22"/>
      <c r="B27" s="22"/>
      <c r="C27" s="1">
        <v>6</v>
      </c>
      <c r="D27" s="3">
        <v>4.5414210107642796E-3</v>
      </c>
      <c r="E27" s="23"/>
      <c r="F27" s="19"/>
    </row>
    <row r="28" spans="1:6" x14ac:dyDescent="0.3">
      <c r="A28" s="22"/>
      <c r="B28" s="22"/>
      <c r="C28" s="1">
        <v>7</v>
      </c>
      <c r="D28" s="3">
        <v>6.4272965329950603E-3</v>
      </c>
      <c r="E28" s="23"/>
      <c r="F28" s="19"/>
    </row>
    <row r="29" spans="1:6" x14ac:dyDescent="0.3">
      <c r="A29" s="22"/>
      <c r="B29" s="22"/>
      <c r="C29" s="1">
        <v>8</v>
      </c>
      <c r="D29" s="3">
        <v>3.38376634582825E-3</v>
      </c>
      <c r="E29" s="23"/>
      <c r="F29" s="19"/>
    </row>
    <row r="30" spans="1:6" x14ac:dyDescent="0.3">
      <c r="A30" s="22"/>
      <c r="B30" s="22"/>
      <c r="C30" s="1">
        <v>9</v>
      </c>
      <c r="D30" s="3">
        <v>7.5523987537550697E-3</v>
      </c>
      <c r="E30" s="23"/>
      <c r="F30" s="19"/>
    </row>
    <row r="31" spans="1:6" x14ac:dyDescent="0.3">
      <c r="A31" s="22"/>
      <c r="B31" s="22"/>
      <c r="C31" s="1">
        <v>10</v>
      </c>
      <c r="D31" s="13">
        <v>7.6800340233492996E-3</v>
      </c>
      <c r="E31" s="23"/>
      <c r="F31" s="19"/>
    </row>
    <row r="32" spans="1:6" x14ac:dyDescent="0.3">
      <c r="A32" s="22"/>
      <c r="B32" s="22"/>
      <c r="C32" s="1">
        <v>11</v>
      </c>
      <c r="D32" s="3">
        <v>6.3918233917569199E-3</v>
      </c>
      <c r="E32" s="23"/>
      <c r="F32" s="19"/>
    </row>
    <row r="33" spans="1:6" x14ac:dyDescent="0.3">
      <c r="A33" s="22"/>
      <c r="B33" s="22"/>
      <c r="C33" s="1">
        <v>12</v>
      </c>
      <c r="D33" s="3">
        <v>4.2373542282834803E-3</v>
      </c>
      <c r="E33" s="23"/>
      <c r="F33" s="19"/>
    </row>
    <row r="34" spans="1:6" x14ac:dyDescent="0.3">
      <c r="A34" s="22"/>
      <c r="B34" s="22"/>
      <c r="C34" s="1">
        <v>13</v>
      </c>
      <c r="D34" s="3">
        <v>4.915635919904E-3</v>
      </c>
      <c r="E34" s="23"/>
      <c r="F34" s="19"/>
    </row>
    <row r="35" spans="1:6" x14ac:dyDescent="0.3">
      <c r="A35" s="22"/>
      <c r="B35" s="22"/>
      <c r="C35" s="1">
        <v>14</v>
      </c>
      <c r="D35" s="3">
        <v>5.4657145165723396E-3</v>
      </c>
      <c r="E35" s="23"/>
      <c r="F35" s="19"/>
    </row>
    <row r="36" spans="1:6" x14ac:dyDescent="0.3">
      <c r="A36" s="22"/>
      <c r="B36" s="22"/>
      <c r="C36" s="1">
        <v>15</v>
      </c>
      <c r="D36" s="3">
        <v>2.4761238010971602E-3</v>
      </c>
      <c r="E36" s="23"/>
      <c r="F36" s="19"/>
    </row>
    <row r="37" spans="1:6" x14ac:dyDescent="0.3">
      <c r="A37" s="22"/>
      <c r="B37" s="22"/>
      <c r="C37" s="1">
        <v>16</v>
      </c>
      <c r="D37" s="3">
        <v>5.6164777642944402E-3</v>
      </c>
      <c r="E37" s="23"/>
      <c r="F37" s="19"/>
    </row>
    <row r="38" spans="1:6" x14ac:dyDescent="0.3">
      <c r="A38" s="22"/>
      <c r="B38" s="22"/>
      <c r="C38" s="1">
        <v>17</v>
      </c>
      <c r="D38" s="3">
        <v>7.1929511615365102E-3</v>
      </c>
      <c r="E38" s="23"/>
      <c r="F38" s="19"/>
    </row>
    <row r="39" spans="1:6" x14ac:dyDescent="0.3">
      <c r="A39" s="22"/>
      <c r="B39" s="22"/>
      <c r="C39" s="1">
        <v>18</v>
      </c>
      <c r="D39" s="3">
        <v>2.8599226141712798E-3</v>
      </c>
      <c r="E39" s="23"/>
      <c r="F39" s="19"/>
    </row>
    <row r="40" spans="1:6" x14ac:dyDescent="0.3">
      <c r="A40" s="22"/>
      <c r="B40" s="22"/>
      <c r="C40" s="1">
        <v>19</v>
      </c>
      <c r="D40" s="3">
        <v>6.4138915677315004E-3</v>
      </c>
      <c r="E40" s="23"/>
      <c r="F40" s="19"/>
    </row>
    <row r="41" spans="1:6" x14ac:dyDescent="0.3">
      <c r="A41" s="22"/>
      <c r="B41" s="22"/>
      <c r="C41" s="1">
        <v>20</v>
      </c>
      <c r="D41" s="3">
        <v>5.4009333094454997E-3</v>
      </c>
      <c r="E41" s="23"/>
      <c r="F41" s="20"/>
    </row>
    <row r="42" spans="1:6" x14ac:dyDescent="0.3">
      <c r="A42" s="22" t="s">
        <v>6</v>
      </c>
      <c r="B42" s="22" t="s">
        <v>20</v>
      </c>
      <c r="C42" s="1">
        <v>1</v>
      </c>
      <c r="D42" s="3">
        <v>6.8834568210915997E-3</v>
      </c>
      <c r="E42" s="23">
        <f>AVERAGE(D42:D63)</f>
        <v>4.5613610676283672E-3</v>
      </c>
      <c r="F42" s="18">
        <f>AVERAGE(D44,D48:D49,D51:D53,D55,D58:D59,D62)</f>
        <v>3.3552948035307645E-3</v>
      </c>
    </row>
    <row r="43" spans="1:6" x14ac:dyDescent="0.3">
      <c r="A43" s="22"/>
      <c r="B43" s="22"/>
      <c r="C43" s="1">
        <v>2</v>
      </c>
      <c r="D43" s="3">
        <v>5.9727451086721804E-3</v>
      </c>
      <c r="E43" s="23"/>
      <c r="F43" s="19"/>
    </row>
    <row r="44" spans="1:6" x14ac:dyDescent="0.3">
      <c r="A44" s="22"/>
      <c r="B44" s="22"/>
      <c r="C44" s="1">
        <v>3</v>
      </c>
      <c r="D44" s="3">
        <v>3.2861956035523401E-3</v>
      </c>
      <c r="E44" s="23"/>
      <c r="F44" s="19"/>
    </row>
    <row r="45" spans="1:6" x14ac:dyDescent="0.3">
      <c r="A45" s="22"/>
      <c r="B45" s="22"/>
      <c r="C45" s="1">
        <v>4</v>
      </c>
      <c r="D45" s="3">
        <v>4.1621944755989501E-3</v>
      </c>
      <c r="E45" s="23"/>
      <c r="F45" s="19"/>
    </row>
    <row r="46" spans="1:6" x14ac:dyDescent="0.3">
      <c r="A46" s="22"/>
      <c r="B46" s="22"/>
      <c r="C46" s="1">
        <v>5</v>
      </c>
      <c r="D46" s="3">
        <v>6.0968354981954303E-3</v>
      </c>
      <c r="E46" s="23"/>
      <c r="F46" s="19"/>
    </row>
    <row r="47" spans="1:6" x14ac:dyDescent="0.3">
      <c r="A47" s="22"/>
      <c r="B47" s="22"/>
      <c r="C47" s="1">
        <v>6</v>
      </c>
      <c r="D47" s="3">
        <v>6.8318852941438796E-3</v>
      </c>
      <c r="E47" s="23"/>
      <c r="F47" s="19"/>
    </row>
    <row r="48" spans="1:6" x14ac:dyDescent="0.3">
      <c r="A48" s="22"/>
      <c r="B48" s="22"/>
      <c r="C48" s="1">
        <v>7</v>
      </c>
      <c r="D48" s="3">
        <v>3.3675964367588002E-3</v>
      </c>
      <c r="E48" s="23"/>
      <c r="F48" s="19"/>
    </row>
    <row r="49" spans="1:6" x14ac:dyDescent="0.3">
      <c r="A49" s="22"/>
      <c r="B49" s="22"/>
      <c r="C49" s="1">
        <v>8</v>
      </c>
      <c r="D49" s="13">
        <v>2.7372032922601602E-3</v>
      </c>
      <c r="E49" s="23"/>
      <c r="F49" s="19"/>
    </row>
    <row r="50" spans="1:6" x14ac:dyDescent="0.3">
      <c r="A50" s="22"/>
      <c r="B50" s="22"/>
      <c r="C50" s="1">
        <v>9</v>
      </c>
      <c r="D50" s="3">
        <v>4.0609534836609498E-3</v>
      </c>
      <c r="E50" s="23"/>
      <c r="F50" s="19"/>
    </row>
    <row r="51" spans="1:6" x14ac:dyDescent="0.3">
      <c r="A51" s="22"/>
      <c r="B51" s="22"/>
      <c r="C51" s="1">
        <v>10</v>
      </c>
      <c r="D51" s="3">
        <v>3.6197936532585901E-3</v>
      </c>
      <c r="E51" s="23"/>
      <c r="F51" s="19"/>
    </row>
    <row r="52" spans="1:6" x14ac:dyDescent="0.3">
      <c r="A52" s="22"/>
      <c r="B52" s="22"/>
      <c r="C52" s="1">
        <v>11</v>
      </c>
      <c r="D52" s="3">
        <v>3.6673222957590902E-3</v>
      </c>
      <c r="E52" s="23"/>
      <c r="F52" s="19"/>
    </row>
    <row r="53" spans="1:6" x14ac:dyDescent="0.3">
      <c r="A53" s="22"/>
      <c r="B53" s="22"/>
      <c r="C53" s="1">
        <v>12</v>
      </c>
      <c r="D53" s="3">
        <v>2.90451377202124E-3</v>
      </c>
      <c r="E53" s="23"/>
      <c r="F53" s="19"/>
    </row>
    <row r="54" spans="1:6" x14ac:dyDescent="0.3">
      <c r="A54" s="22"/>
      <c r="B54" s="22"/>
      <c r="C54" s="1">
        <v>13</v>
      </c>
      <c r="D54" s="3">
        <v>7.0540871245019796E-3</v>
      </c>
      <c r="E54" s="23"/>
      <c r="F54" s="19"/>
    </row>
    <row r="55" spans="1:6" x14ac:dyDescent="0.3">
      <c r="A55" s="22"/>
      <c r="B55" s="22"/>
      <c r="C55" s="1">
        <v>14</v>
      </c>
      <c r="D55" s="3">
        <v>3.7965863896698201E-3</v>
      </c>
      <c r="E55" s="23"/>
      <c r="F55" s="19"/>
    </row>
    <row r="56" spans="1:6" x14ac:dyDescent="0.3">
      <c r="A56" s="22"/>
      <c r="B56" s="22"/>
      <c r="C56" s="1">
        <v>15</v>
      </c>
      <c r="D56" s="3">
        <v>5.4131272615231298E-3</v>
      </c>
      <c r="E56" s="23"/>
      <c r="F56" s="19"/>
    </row>
    <row r="57" spans="1:6" x14ac:dyDescent="0.3">
      <c r="A57" s="22"/>
      <c r="B57" s="22"/>
      <c r="C57" s="1">
        <v>16</v>
      </c>
      <c r="D57" s="3">
        <v>5.8200351814192202E-3</v>
      </c>
      <c r="E57" s="23"/>
      <c r="F57" s="19"/>
    </row>
    <row r="58" spans="1:6" x14ac:dyDescent="0.3">
      <c r="A58" s="22"/>
      <c r="B58" s="22"/>
      <c r="C58" s="1">
        <v>17</v>
      </c>
      <c r="D58" s="3">
        <v>3.1635792867456898E-3</v>
      </c>
      <c r="E58" s="23"/>
      <c r="F58" s="19"/>
    </row>
    <row r="59" spans="1:6" x14ac:dyDescent="0.3">
      <c r="A59" s="22"/>
      <c r="B59" s="22"/>
      <c r="C59" s="1">
        <v>18</v>
      </c>
      <c r="D59" s="3">
        <v>3.3820933092763698E-3</v>
      </c>
      <c r="E59" s="23"/>
      <c r="F59" s="19"/>
    </row>
    <row r="60" spans="1:6" x14ac:dyDescent="0.3">
      <c r="A60" s="22"/>
      <c r="B60" s="22"/>
      <c r="C60" s="1">
        <v>19</v>
      </c>
      <c r="D60" s="3">
        <v>4.2017418724428698E-3</v>
      </c>
      <c r="E60" s="23"/>
      <c r="F60" s="19"/>
    </row>
    <row r="61" spans="1:6" x14ac:dyDescent="0.3">
      <c r="A61" s="22"/>
      <c r="B61" s="22"/>
      <c r="C61" s="1">
        <v>20</v>
      </c>
      <c r="D61" s="3">
        <v>5.0983225386692496E-3</v>
      </c>
      <c r="E61" s="23"/>
      <c r="F61" s="19"/>
    </row>
    <row r="62" spans="1:6" x14ac:dyDescent="0.3">
      <c r="A62" s="22"/>
      <c r="B62" s="22"/>
      <c r="C62" s="1">
        <v>21</v>
      </c>
      <c r="D62" s="3">
        <v>3.6280639960055401E-3</v>
      </c>
      <c r="E62" s="23"/>
      <c r="F62" s="19"/>
    </row>
    <row r="63" spans="1:6" x14ac:dyDescent="0.3">
      <c r="A63" s="22"/>
      <c r="B63" s="22"/>
      <c r="C63" s="1">
        <v>22</v>
      </c>
      <c r="D63" s="3">
        <v>5.2016107925969904E-3</v>
      </c>
      <c r="E63" s="23"/>
      <c r="F63" s="20"/>
    </row>
    <row r="64" spans="1:6" x14ac:dyDescent="0.3">
      <c r="A64" s="22" t="s">
        <v>6</v>
      </c>
      <c r="B64" s="22" t="s">
        <v>21</v>
      </c>
      <c r="C64" s="1">
        <v>1</v>
      </c>
      <c r="D64" s="3">
        <v>6.2818931418228401E-3</v>
      </c>
      <c r="E64" s="23">
        <f>AVERAGE(D64:D83)</f>
        <v>6.1040729429190331E-3</v>
      </c>
      <c r="F64" s="18">
        <f>AVERAGE(D64:D73)</f>
        <v>5.3291170736087367E-3</v>
      </c>
    </row>
    <row r="65" spans="1:6" x14ac:dyDescent="0.3">
      <c r="A65" s="22"/>
      <c r="B65" s="22"/>
      <c r="C65" s="1">
        <v>2</v>
      </c>
      <c r="D65" s="3">
        <v>6.8182042173560798E-3</v>
      </c>
      <c r="E65" s="23"/>
      <c r="F65" s="19"/>
    </row>
    <row r="66" spans="1:6" x14ac:dyDescent="0.3">
      <c r="A66" s="22"/>
      <c r="B66" s="22"/>
      <c r="C66" s="1">
        <v>3</v>
      </c>
      <c r="D66" s="3">
        <v>4.2285695769365096E-3</v>
      </c>
      <c r="E66" s="23"/>
      <c r="F66" s="19"/>
    </row>
    <row r="67" spans="1:6" x14ac:dyDescent="0.3">
      <c r="A67" s="22"/>
      <c r="B67" s="22"/>
      <c r="C67" s="1">
        <v>4</v>
      </c>
      <c r="D67" s="3">
        <v>5.8252759869783198E-3</v>
      </c>
      <c r="E67" s="23"/>
      <c r="F67" s="19"/>
    </row>
    <row r="68" spans="1:6" x14ac:dyDescent="0.3">
      <c r="A68" s="22"/>
      <c r="B68" s="22"/>
      <c r="C68" s="1">
        <v>5</v>
      </c>
      <c r="D68" s="3">
        <v>4.4285847730044896E-3</v>
      </c>
      <c r="E68" s="23"/>
      <c r="F68" s="19"/>
    </row>
    <row r="69" spans="1:6" x14ac:dyDescent="0.3">
      <c r="A69" s="22"/>
      <c r="B69" s="22"/>
      <c r="C69" s="1">
        <v>6</v>
      </c>
      <c r="D69" s="3">
        <v>6.2279660386848797E-3</v>
      </c>
      <c r="E69" s="23"/>
      <c r="F69" s="19"/>
    </row>
    <row r="70" spans="1:6" x14ac:dyDescent="0.3">
      <c r="A70" s="22"/>
      <c r="B70" s="22"/>
      <c r="C70" s="1">
        <v>7</v>
      </c>
      <c r="D70" s="3">
        <v>8.2022103694235193E-3</v>
      </c>
      <c r="E70" s="23"/>
      <c r="F70" s="19"/>
    </row>
    <row r="71" spans="1:6" x14ac:dyDescent="0.3">
      <c r="A71" s="22"/>
      <c r="B71" s="22"/>
      <c r="C71" s="1">
        <v>8</v>
      </c>
      <c r="D71" s="3">
        <v>3.5457112738367701E-3</v>
      </c>
      <c r="E71" s="23"/>
      <c r="F71" s="19"/>
    </row>
    <row r="72" spans="1:6" x14ac:dyDescent="0.3">
      <c r="A72" s="22"/>
      <c r="B72" s="22"/>
      <c r="C72" s="1">
        <v>9</v>
      </c>
      <c r="D72" s="3">
        <v>6.04210714474739E-3</v>
      </c>
      <c r="E72" s="23"/>
      <c r="F72" s="19"/>
    </row>
    <row r="73" spans="1:6" x14ac:dyDescent="0.3">
      <c r="A73" s="22"/>
      <c r="B73" s="22"/>
      <c r="C73" s="1">
        <v>10</v>
      </c>
      <c r="D73" s="3">
        <v>1.69064821329656E-3</v>
      </c>
      <c r="E73" s="23"/>
      <c r="F73" s="19"/>
    </row>
    <row r="74" spans="1:6" x14ac:dyDescent="0.3">
      <c r="A74" s="22"/>
      <c r="B74" s="22"/>
      <c r="C74" s="1">
        <v>11</v>
      </c>
      <c r="D74" s="3">
        <v>1.3853631636022001E-2</v>
      </c>
      <c r="E74" s="23"/>
      <c r="F74" s="19"/>
    </row>
    <row r="75" spans="1:6" x14ac:dyDescent="0.3">
      <c r="A75" s="22"/>
      <c r="B75" s="22"/>
      <c r="C75" s="1">
        <v>12</v>
      </c>
      <c r="D75" s="3"/>
      <c r="E75" s="23"/>
      <c r="F75" s="19"/>
    </row>
    <row r="76" spans="1:6" x14ac:dyDescent="0.3">
      <c r="A76" s="22"/>
      <c r="B76" s="22"/>
      <c r="C76" s="1">
        <v>13</v>
      </c>
      <c r="D76" s="3"/>
      <c r="E76" s="23"/>
      <c r="F76" s="19"/>
    </row>
    <row r="77" spans="1:6" x14ac:dyDescent="0.3">
      <c r="A77" s="22"/>
      <c r="B77" s="22"/>
      <c r="C77" s="1">
        <v>14</v>
      </c>
      <c r="D77" s="3"/>
      <c r="E77" s="23"/>
      <c r="F77" s="19"/>
    </row>
    <row r="78" spans="1:6" x14ac:dyDescent="0.3">
      <c r="A78" s="22"/>
      <c r="B78" s="22"/>
      <c r="C78" s="1">
        <v>15</v>
      </c>
      <c r="D78" s="3"/>
      <c r="E78" s="23"/>
      <c r="F78" s="19"/>
    </row>
    <row r="79" spans="1:6" x14ac:dyDescent="0.3">
      <c r="A79" s="22"/>
      <c r="B79" s="22"/>
      <c r="C79" s="1">
        <v>16</v>
      </c>
      <c r="D79" s="3"/>
      <c r="E79" s="23"/>
      <c r="F79" s="19"/>
    </row>
    <row r="80" spans="1:6" x14ac:dyDescent="0.3">
      <c r="A80" s="22"/>
      <c r="B80" s="22"/>
      <c r="C80" s="1">
        <v>17</v>
      </c>
      <c r="D80" s="3"/>
      <c r="E80" s="23"/>
      <c r="F80" s="19"/>
    </row>
    <row r="81" spans="1:6" x14ac:dyDescent="0.3">
      <c r="A81" s="22"/>
      <c r="B81" s="22"/>
      <c r="C81" s="1">
        <v>18</v>
      </c>
      <c r="D81" s="3"/>
      <c r="E81" s="23"/>
      <c r="F81" s="19"/>
    </row>
    <row r="82" spans="1:6" x14ac:dyDescent="0.3">
      <c r="A82" s="22"/>
      <c r="B82" s="22"/>
      <c r="C82" s="1">
        <v>19</v>
      </c>
      <c r="D82" s="3"/>
      <c r="E82" s="23"/>
      <c r="F82" s="19"/>
    </row>
    <row r="83" spans="1:6" x14ac:dyDescent="0.3">
      <c r="A83" s="22"/>
      <c r="B83" s="22"/>
      <c r="C83" s="1">
        <v>20</v>
      </c>
      <c r="D83" s="3"/>
      <c r="E83" s="23"/>
      <c r="F83" s="20"/>
    </row>
  </sheetData>
  <mergeCells count="16">
    <mergeCell ref="F2:F21"/>
    <mergeCell ref="F22:F41"/>
    <mergeCell ref="F42:F63"/>
    <mergeCell ref="F64:F83"/>
    <mergeCell ref="A42:A63"/>
    <mergeCell ref="B42:B63"/>
    <mergeCell ref="E42:E63"/>
    <mergeCell ref="A64:A83"/>
    <mergeCell ref="B64:B83"/>
    <mergeCell ref="E64:E83"/>
    <mergeCell ref="A2:A21"/>
    <mergeCell ref="B2:B21"/>
    <mergeCell ref="E2:E21"/>
    <mergeCell ref="A22:A41"/>
    <mergeCell ref="B22:B41"/>
    <mergeCell ref="E22:E41"/>
  </mergeCells>
  <conditionalFormatting sqref="D2:D21">
    <cfRule type="top10" dxfId="39" priority="8" rank="10"/>
  </conditionalFormatting>
  <conditionalFormatting sqref="D22:D41">
    <cfRule type="top10" dxfId="38" priority="7" rank="10"/>
  </conditionalFormatting>
  <conditionalFormatting sqref="D42:D63">
    <cfRule type="top10" dxfId="37" priority="6" bottom="1" rank="10"/>
  </conditionalFormatting>
  <conditionalFormatting sqref="D64:D83">
    <cfRule type="top10" dxfId="36" priority="5" bottom="1" rank="10"/>
  </conditionalFormatting>
  <conditionalFormatting sqref="F2">
    <cfRule type="top10" dxfId="35" priority="4" rank="10"/>
  </conditionalFormatting>
  <conditionalFormatting sqref="F22">
    <cfRule type="top10" dxfId="34" priority="3" rank="10"/>
  </conditionalFormatting>
  <conditionalFormatting sqref="F42">
    <cfRule type="top10" dxfId="33" priority="2" bottom="1" rank="10"/>
  </conditionalFormatting>
  <conditionalFormatting sqref="F64">
    <cfRule type="top10" dxfId="32" priority="1" bottom="1" rank="10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7A79-2F9C-4481-8EBD-08EEDD2231C1}">
  <dimension ref="A1:G81"/>
  <sheetViews>
    <sheetView topLeftCell="A22" zoomScale="139" zoomScaleNormal="139" workbookViewId="0">
      <selection activeCell="D27" sqref="D27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6</v>
      </c>
      <c r="B2" s="22" t="s">
        <v>9</v>
      </c>
      <c r="C2" s="1">
        <v>1</v>
      </c>
      <c r="D2" s="3">
        <v>8.8432581244842993E-3</v>
      </c>
      <c r="E2" s="23">
        <f>AVERAGE(D2:D21)</f>
        <v>8.7675163804370772E-3</v>
      </c>
      <c r="F2" s="23">
        <f>AVERAGE(D2:D11)</f>
        <v>8.8902765909421762E-3</v>
      </c>
    </row>
    <row r="3" spans="1:6" x14ac:dyDescent="0.3">
      <c r="A3" s="22"/>
      <c r="B3" s="22"/>
      <c r="C3" s="1">
        <v>2</v>
      </c>
      <c r="D3" s="3">
        <v>8.9353771851844298E-3</v>
      </c>
      <c r="E3" s="23"/>
      <c r="F3" s="23"/>
    </row>
    <row r="4" spans="1:6" x14ac:dyDescent="0.3">
      <c r="A4" s="22"/>
      <c r="B4" s="22"/>
      <c r="C4" s="1">
        <v>3</v>
      </c>
      <c r="D4" s="13">
        <v>9.0998611554805892E-3</v>
      </c>
      <c r="E4" s="23"/>
      <c r="F4" s="23"/>
    </row>
    <row r="5" spans="1:6" x14ac:dyDescent="0.3">
      <c r="A5" s="22"/>
      <c r="B5" s="22"/>
      <c r="C5" s="1">
        <v>4</v>
      </c>
      <c r="D5" s="3">
        <v>8.7575297490641597E-3</v>
      </c>
      <c r="E5" s="23"/>
      <c r="F5" s="23"/>
    </row>
    <row r="6" spans="1:6" x14ac:dyDescent="0.3">
      <c r="A6" s="22"/>
      <c r="B6" s="22"/>
      <c r="C6" s="1">
        <v>5</v>
      </c>
      <c r="D6" s="3">
        <v>8.7434515023467104E-3</v>
      </c>
      <c r="E6" s="23"/>
      <c r="F6" s="23"/>
    </row>
    <row r="7" spans="1:6" x14ac:dyDescent="0.3">
      <c r="A7" s="22"/>
      <c r="B7" s="22"/>
      <c r="C7" s="1">
        <v>6</v>
      </c>
      <c r="D7" s="3">
        <v>8.7263566291275602E-3</v>
      </c>
      <c r="E7" s="23"/>
      <c r="F7" s="23"/>
    </row>
    <row r="8" spans="1:6" x14ac:dyDescent="0.3">
      <c r="A8" s="22"/>
      <c r="B8" s="22"/>
      <c r="C8" s="1">
        <v>7</v>
      </c>
      <c r="D8" s="3">
        <v>8.9138666514094102E-3</v>
      </c>
      <c r="E8" s="23"/>
      <c r="F8" s="23"/>
    </row>
    <row r="9" spans="1:6" x14ac:dyDescent="0.3">
      <c r="A9" s="22"/>
      <c r="B9" s="22"/>
      <c r="C9" s="1">
        <v>8</v>
      </c>
      <c r="D9" s="3">
        <v>9.0047530343961499E-3</v>
      </c>
      <c r="E9" s="23"/>
      <c r="F9" s="23"/>
    </row>
    <row r="10" spans="1:6" x14ac:dyDescent="0.3">
      <c r="A10" s="22"/>
      <c r="B10" s="22"/>
      <c r="C10" s="1">
        <v>9</v>
      </c>
      <c r="D10" s="3">
        <v>9.0233626371162608E-3</v>
      </c>
      <c r="E10" s="23"/>
      <c r="F10" s="23"/>
    </row>
    <row r="11" spans="1:6" x14ac:dyDescent="0.3">
      <c r="A11" s="22"/>
      <c r="B11" s="22"/>
      <c r="C11" s="1">
        <v>10</v>
      </c>
      <c r="D11" s="3">
        <v>8.8549492408121905E-3</v>
      </c>
      <c r="E11" s="23"/>
      <c r="F11" s="23"/>
    </row>
    <row r="12" spans="1:6" x14ac:dyDescent="0.3">
      <c r="A12" s="22"/>
      <c r="B12" s="22"/>
      <c r="C12" s="1">
        <v>11</v>
      </c>
      <c r="D12" s="3">
        <v>8.2547618993638692E-3</v>
      </c>
      <c r="E12" s="23"/>
      <c r="F12" s="23"/>
    </row>
    <row r="13" spans="1:6" x14ac:dyDescent="0.3">
      <c r="A13" s="22"/>
      <c r="B13" s="22"/>
      <c r="C13" s="1">
        <v>12</v>
      </c>
      <c r="D13" s="3">
        <v>8.4273010266179994E-3</v>
      </c>
      <c r="E13" s="23"/>
      <c r="F13" s="23"/>
    </row>
    <row r="14" spans="1:6" x14ac:dyDescent="0.3">
      <c r="A14" s="22"/>
      <c r="B14" s="22"/>
      <c r="C14" s="1">
        <v>13</v>
      </c>
      <c r="D14" s="3">
        <v>8.5966886811637503E-3</v>
      </c>
      <c r="E14" s="23"/>
      <c r="F14" s="23"/>
    </row>
    <row r="15" spans="1:6" x14ac:dyDescent="0.3">
      <c r="A15" s="22"/>
      <c r="B15" s="22"/>
      <c r="C15" s="1">
        <v>14</v>
      </c>
      <c r="D15" s="3">
        <v>8.6313316596500593E-3</v>
      </c>
      <c r="E15" s="23"/>
      <c r="F15" s="23"/>
    </row>
    <row r="16" spans="1:6" x14ac:dyDescent="0.3">
      <c r="A16" s="22"/>
      <c r="B16" s="22"/>
      <c r="C16" s="1">
        <v>15</v>
      </c>
      <c r="D16" s="3">
        <v>8.6998965303387195E-3</v>
      </c>
      <c r="E16" s="23"/>
      <c r="F16" s="23"/>
    </row>
    <row r="17" spans="1:6" x14ac:dyDescent="0.3">
      <c r="A17" s="22"/>
      <c r="B17" s="22"/>
      <c r="C17" s="1">
        <v>16</v>
      </c>
      <c r="D17" s="3"/>
      <c r="E17" s="23"/>
      <c r="F17" s="23"/>
    </row>
    <row r="18" spans="1:6" x14ac:dyDescent="0.3">
      <c r="A18" s="22"/>
      <c r="B18" s="22"/>
      <c r="C18" s="1">
        <v>17</v>
      </c>
      <c r="D18" s="3"/>
      <c r="E18" s="23"/>
      <c r="F18" s="23"/>
    </row>
    <row r="19" spans="1:6" x14ac:dyDescent="0.3">
      <c r="A19" s="22"/>
      <c r="B19" s="22"/>
      <c r="C19" s="1">
        <v>18</v>
      </c>
      <c r="D19" s="3"/>
      <c r="E19" s="23"/>
      <c r="F19" s="23"/>
    </row>
    <row r="20" spans="1:6" x14ac:dyDescent="0.3">
      <c r="A20" s="22"/>
      <c r="B20" s="22"/>
      <c r="C20" s="1">
        <v>19</v>
      </c>
      <c r="D20" s="3"/>
      <c r="E20" s="23"/>
      <c r="F20" s="23"/>
    </row>
    <row r="21" spans="1:6" x14ac:dyDescent="0.3">
      <c r="A21" s="22"/>
      <c r="B21" s="22"/>
      <c r="C21" s="1">
        <v>20</v>
      </c>
      <c r="D21" s="3"/>
      <c r="E21" s="23"/>
      <c r="F21" s="23"/>
    </row>
    <row r="22" spans="1:6" x14ac:dyDescent="0.3">
      <c r="A22" s="22" t="s">
        <v>6</v>
      </c>
      <c r="B22" s="22" t="s">
        <v>10</v>
      </c>
      <c r="C22" s="1">
        <v>1</v>
      </c>
      <c r="D22" s="3">
        <v>8.4438215453025E-3</v>
      </c>
      <c r="E22" s="23">
        <f>AVERAGE(D22:D41)</f>
        <v>6.7829605511808659E-3</v>
      </c>
      <c r="F22" s="23">
        <f>AVERAGE(D22:D28,D30,D34,D36)</f>
        <v>8.0776467871467254E-3</v>
      </c>
    </row>
    <row r="23" spans="1:6" x14ac:dyDescent="0.3">
      <c r="A23" s="22"/>
      <c r="B23" s="22"/>
      <c r="C23" s="1">
        <v>2</v>
      </c>
      <c r="D23" s="3">
        <v>8.07067671028254E-3</v>
      </c>
      <c r="E23" s="23"/>
      <c r="F23" s="23"/>
    </row>
    <row r="24" spans="1:6" x14ac:dyDescent="0.3">
      <c r="A24" s="22"/>
      <c r="B24" s="22"/>
      <c r="C24" s="1">
        <v>3</v>
      </c>
      <c r="D24" s="3">
        <v>8.5229916662684403E-3</v>
      </c>
      <c r="E24" s="23"/>
      <c r="F24" s="23"/>
    </row>
    <row r="25" spans="1:6" x14ac:dyDescent="0.3">
      <c r="A25" s="22"/>
      <c r="B25" s="22"/>
      <c r="C25" s="1">
        <v>4</v>
      </c>
      <c r="D25" s="3">
        <v>8.6347088477538494E-3</v>
      </c>
      <c r="E25" s="23"/>
      <c r="F25" s="23"/>
    </row>
    <row r="26" spans="1:6" x14ac:dyDescent="0.3">
      <c r="A26" s="22"/>
      <c r="B26" s="22"/>
      <c r="C26" s="1">
        <v>5</v>
      </c>
      <c r="D26" s="3">
        <v>8.1755854038015902E-3</v>
      </c>
      <c r="E26" s="23"/>
      <c r="F26" s="23"/>
    </row>
    <row r="27" spans="1:6" x14ac:dyDescent="0.3">
      <c r="A27" s="22"/>
      <c r="B27" s="22"/>
      <c r="C27" s="1">
        <v>6</v>
      </c>
      <c r="D27" s="13">
        <v>8.6674836087969002E-3</v>
      </c>
      <c r="E27" s="23"/>
      <c r="F27" s="23"/>
    </row>
    <row r="28" spans="1:6" x14ac:dyDescent="0.3">
      <c r="A28" s="22"/>
      <c r="B28" s="22"/>
      <c r="C28" s="1">
        <v>7</v>
      </c>
      <c r="D28" s="3">
        <v>8.1037171416723092E-3</v>
      </c>
      <c r="E28" s="23"/>
      <c r="F28" s="23"/>
    </row>
    <row r="29" spans="1:6" x14ac:dyDescent="0.3">
      <c r="A29" s="22"/>
      <c r="B29" s="22"/>
      <c r="C29" s="1">
        <v>8</v>
      </c>
      <c r="D29" s="3">
        <v>6.1142268412897197E-3</v>
      </c>
      <c r="E29" s="23"/>
      <c r="F29" s="23"/>
    </row>
    <row r="30" spans="1:6" x14ac:dyDescent="0.3">
      <c r="A30" s="22"/>
      <c r="B30" s="22"/>
      <c r="C30" s="1">
        <v>9</v>
      </c>
      <c r="D30" s="3">
        <v>7.2672120466967102E-3</v>
      </c>
      <c r="E30" s="23"/>
      <c r="F30" s="23"/>
    </row>
    <row r="31" spans="1:6" x14ac:dyDescent="0.3">
      <c r="A31" s="22"/>
      <c r="B31" s="22"/>
      <c r="C31" s="1">
        <v>10</v>
      </c>
      <c r="D31" s="3">
        <v>7.3742461215116502E-4</v>
      </c>
      <c r="E31" s="23"/>
      <c r="F31" s="23"/>
    </row>
    <row r="32" spans="1:6" x14ac:dyDescent="0.3">
      <c r="A32" s="22"/>
      <c r="B32" s="22"/>
      <c r="C32" s="1">
        <v>11</v>
      </c>
      <c r="D32" s="3">
        <v>7.6866612718044195E-4</v>
      </c>
      <c r="E32" s="23"/>
      <c r="F32" s="23"/>
    </row>
    <row r="33" spans="1:6" x14ac:dyDescent="0.3">
      <c r="A33" s="22"/>
      <c r="B33" s="22"/>
      <c r="C33" s="1">
        <v>12</v>
      </c>
      <c r="D33" s="3">
        <v>6.5553857498068099E-3</v>
      </c>
      <c r="E33" s="23"/>
      <c r="F33" s="23"/>
    </row>
    <row r="34" spans="1:6" x14ac:dyDescent="0.3">
      <c r="A34" s="22"/>
      <c r="B34" s="22"/>
      <c r="C34" s="1">
        <v>13</v>
      </c>
      <c r="D34" s="3">
        <v>8.0952710640247293E-3</v>
      </c>
      <c r="E34" s="23"/>
      <c r="F34" s="23"/>
    </row>
    <row r="35" spans="1:6" x14ac:dyDescent="0.3">
      <c r="A35" s="22"/>
      <c r="B35" s="22"/>
      <c r="C35" s="1">
        <v>14</v>
      </c>
      <c r="D35" s="3">
        <v>6.7922370658176001E-3</v>
      </c>
      <c r="E35" s="23"/>
      <c r="F35" s="23"/>
    </row>
    <row r="36" spans="1:6" x14ac:dyDescent="0.3">
      <c r="A36" s="22"/>
      <c r="B36" s="22"/>
      <c r="C36" s="1">
        <v>15</v>
      </c>
      <c r="D36" s="3">
        <v>6.7949998368676797E-3</v>
      </c>
      <c r="E36" s="23"/>
      <c r="F36" s="23"/>
    </row>
    <row r="37" spans="1:6" x14ac:dyDescent="0.3">
      <c r="A37" s="22"/>
      <c r="B37" s="22"/>
      <c r="C37" s="1">
        <v>16</v>
      </c>
      <c r="D37" s="3"/>
      <c r="E37" s="23"/>
      <c r="F37" s="23"/>
    </row>
    <row r="38" spans="1:6" x14ac:dyDescent="0.3">
      <c r="A38" s="22"/>
      <c r="B38" s="22"/>
      <c r="C38" s="1">
        <v>17</v>
      </c>
      <c r="D38" s="3"/>
      <c r="E38" s="23"/>
      <c r="F38" s="23"/>
    </row>
    <row r="39" spans="1:6" x14ac:dyDescent="0.3">
      <c r="A39" s="22"/>
      <c r="B39" s="22"/>
      <c r="C39" s="1">
        <v>18</v>
      </c>
      <c r="D39" s="3"/>
      <c r="E39" s="23"/>
      <c r="F39" s="23"/>
    </row>
    <row r="40" spans="1:6" x14ac:dyDescent="0.3">
      <c r="A40" s="22"/>
      <c r="B40" s="22"/>
      <c r="C40" s="1">
        <v>19</v>
      </c>
      <c r="D40" s="3"/>
      <c r="E40" s="23"/>
      <c r="F40" s="23"/>
    </row>
    <row r="41" spans="1:6" x14ac:dyDescent="0.3">
      <c r="A41" s="22"/>
      <c r="B41" s="22"/>
      <c r="C41" s="1">
        <v>20</v>
      </c>
      <c r="D41" s="3"/>
      <c r="E41" s="23"/>
      <c r="F41" s="23"/>
    </row>
    <row r="42" spans="1:6" x14ac:dyDescent="0.3">
      <c r="A42" s="22" t="s">
        <v>6</v>
      </c>
      <c r="B42" s="22" t="s">
        <v>20</v>
      </c>
      <c r="C42" s="1">
        <v>1</v>
      </c>
      <c r="D42" s="3">
        <v>6.2969138289247001E-3</v>
      </c>
      <c r="E42" s="23">
        <f>AVERAGE(D42:D61)</f>
        <v>6.1136459708670248E-3</v>
      </c>
      <c r="F42" s="23">
        <f>AVERAGE(E42:E61)</f>
        <v>6.1136459708670248E-3</v>
      </c>
    </row>
    <row r="43" spans="1:6" x14ac:dyDescent="0.3">
      <c r="A43" s="22"/>
      <c r="B43" s="22"/>
      <c r="C43" s="1">
        <v>2</v>
      </c>
      <c r="D43" s="3">
        <v>6.4076776396648598E-3</v>
      </c>
      <c r="E43" s="23"/>
      <c r="F43" s="23"/>
    </row>
    <row r="44" spans="1:6" x14ac:dyDescent="0.3">
      <c r="A44" s="22"/>
      <c r="B44" s="22"/>
      <c r="C44" s="1">
        <v>3</v>
      </c>
      <c r="D44" s="3">
        <v>6.2667263273711001E-3</v>
      </c>
      <c r="E44" s="23"/>
      <c r="F44" s="23"/>
    </row>
    <row r="45" spans="1:6" x14ac:dyDescent="0.3">
      <c r="A45" s="22"/>
      <c r="B45" s="22"/>
      <c r="C45" s="1">
        <v>4</v>
      </c>
      <c r="D45" s="3">
        <v>6.2939902848690703E-3</v>
      </c>
      <c r="E45" s="23"/>
      <c r="F45" s="23"/>
    </row>
    <row r="46" spans="1:6" x14ac:dyDescent="0.3">
      <c r="A46" s="22"/>
      <c r="B46" s="22"/>
      <c r="C46" s="1">
        <v>5</v>
      </c>
      <c r="D46" s="3">
        <v>6.1958847109314704E-3</v>
      </c>
      <c r="E46" s="23"/>
      <c r="F46" s="23"/>
    </row>
    <row r="47" spans="1:6" x14ac:dyDescent="0.3">
      <c r="A47" s="22"/>
      <c r="B47" s="22"/>
      <c r="C47" s="1">
        <v>6</v>
      </c>
      <c r="D47" s="3">
        <v>5.8309748107789102E-3</v>
      </c>
      <c r="E47" s="23"/>
      <c r="F47" s="23"/>
    </row>
    <row r="48" spans="1:6" x14ac:dyDescent="0.3">
      <c r="A48" s="22"/>
      <c r="B48" s="22"/>
      <c r="C48" s="1">
        <v>7</v>
      </c>
      <c r="D48" s="3">
        <v>5.5695092562729398E-3</v>
      </c>
      <c r="E48" s="23"/>
      <c r="F48" s="23"/>
    </row>
    <row r="49" spans="1:6" x14ac:dyDescent="0.3">
      <c r="A49" s="22"/>
      <c r="B49" s="22"/>
      <c r="C49" s="1">
        <v>8</v>
      </c>
      <c r="D49" s="3">
        <v>6.4782136600685398E-3</v>
      </c>
      <c r="E49" s="23"/>
      <c r="F49" s="23"/>
    </row>
    <row r="50" spans="1:6" x14ac:dyDescent="0.3">
      <c r="A50" s="22"/>
      <c r="B50" s="22"/>
      <c r="C50" s="1">
        <v>9</v>
      </c>
      <c r="D50" s="3">
        <v>5.5695092562729398E-3</v>
      </c>
      <c r="E50" s="23"/>
      <c r="F50" s="23"/>
    </row>
    <row r="51" spans="1:6" x14ac:dyDescent="0.3">
      <c r="A51" s="22"/>
      <c r="B51" s="22"/>
      <c r="C51" s="1">
        <v>10</v>
      </c>
      <c r="D51" s="3">
        <v>6.2270599335157101E-3</v>
      </c>
      <c r="E51" s="23"/>
      <c r="F51" s="23"/>
    </row>
    <row r="52" spans="1:6" x14ac:dyDescent="0.3">
      <c r="A52" s="22"/>
      <c r="B52" s="22"/>
      <c r="C52" s="1">
        <v>11</v>
      </c>
      <c r="D52" s="3"/>
      <c r="E52" s="23"/>
      <c r="F52" s="23"/>
    </row>
    <row r="53" spans="1:6" x14ac:dyDescent="0.3">
      <c r="A53" s="22"/>
      <c r="B53" s="22"/>
      <c r="C53" s="1">
        <v>12</v>
      </c>
      <c r="D53" s="3"/>
      <c r="E53" s="23"/>
      <c r="F53" s="23"/>
    </row>
    <row r="54" spans="1:6" x14ac:dyDescent="0.3">
      <c r="A54" s="22"/>
      <c r="B54" s="22"/>
      <c r="C54" s="1">
        <v>13</v>
      </c>
      <c r="D54" s="3"/>
      <c r="E54" s="23"/>
      <c r="F54" s="23"/>
    </row>
    <row r="55" spans="1:6" x14ac:dyDescent="0.3">
      <c r="A55" s="22"/>
      <c r="B55" s="22"/>
      <c r="C55" s="1">
        <v>14</v>
      </c>
      <c r="D55" s="3"/>
      <c r="E55" s="23"/>
      <c r="F55" s="23"/>
    </row>
    <row r="56" spans="1:6" x14ac:dyDescent="0.3">
      <c r="A56" s="22"/>
      <c r="B56" s="22"/>
      <c r="C56" s="1">
        <v>15</v>
      </c>
      <c r="D56" s="3"/>
      <c r="E56" s="23"/>
      <c r="F56" s="23"/>
    </row>
    <row r="57" spans="1:6" x14ac:dyDescent="0.3">
      <c r="A57" s="22"/>
      <c r="B57" s="22"/>
      <c r="C57" s="1">
        <v>16</v>
      </c>
      <c r="D57" s="3"/>
      <c r="E57" s="23"/>
      <c r="F57" s="23"/>
    </row>
    <row r="58" spans="1:6" x14ac:dyDescent="0.3">
      <c r="A58" s="22"/>
      <c r="B58" s="22"/>
      <c r="C58" s="1">
        <v>17</v>
      </c>
      <c r="D58" s="3"/>
      <c r="E58" s="23"/>
      <c r="F58" s="23"/>
    </row>
    <row r="59" spans="1:6" x14ac:dyDescent="0.3">
      <c r="A59" s="22"/>
      <c r="B59" s="22"/>
      <c r="C59" s="1">
        <v>18</v>
      </c>
      <c r="D59" s="3"/>
      <c r="E59" s="23"/>
      <c r="F59" s="23"/>
    </row>
    <row r="60" spans="1:6" x14ac:dyDescent="0.3">
      <c r="A60" s="22"/>
      <c r="B60" s="22"/>
      <c r="C60" s="1">
        <v>19</v>
      </c>
      <c r="D60" s="3"/>
      <c r="E60" s="23"/>
      <c r="F60" s="23"/>
    </row>
    <row r="61" spans="1:6" x14ac:dyDescent="0.3">
      <c r="A61" s="22"/>
      <c r="B61" s="22"/>
      <c r="C61" s="1">
        <v>20</v>
      </c>
      <c r="D61" s="3"/>
      <c r="E61" s="23"/>
      <c r="F61" s="23"/>
    </row>
    <row r="62" spans="1:6" x14ac:dyDescent="0.3">
      <c r="A62" s="22" t="s">
        <v>6</v>
      </c>
      <c r="B62" s="22" t="s">
        <v>21</v>
      </c>
      <c r="C62" s="1">
        <v>1</v>
      </c>
      <c r="D62" s="3">
        <v>6.2516390259418301E-3</v>
      </c>
      <c r="E62" s="23">
        <f>AVERAGE(D62:D81)</f>
        <v>7.4421818039347928E-3</v>
      </c>
      <c r="F62" s="23">
        <f>AVERAGE(D62:D63,D66,D68,D72,D74:D75,D77,D80:D81)</f>
        <v>5.8290754400076939E-3</v>
      </c>
    </row>
    <row r="63" spans="1:6" x14ac:dyDescent="0.3">
      <c r="A63" s="22"/>
      <c r="B63" s="22"/>
      <c r="C63" s="1">
        <v>2</v>
      </c>
      <c r="D63" s="3">
        <v>3.7268189374924498E-3</v>
      </c>
      <c r="E63" s="23"/>
      <c r="F63" s="23"/>
    </row>
    <row r="64" spans="1:6" x14ac:dyDescent="0.3">
      <c r="A64" s="22"/>
      <c r="B64" s="22"/>
      <c r="C64" s="1">
        <v>3</v>
      </c>
      <c r="D64" s="3">
        <v>8.0098641848510201E-3</v>
      </c>
      <c r="E64" s="23"/>
      <c r="F64" s="23"/>
    </row>
    <row r="65" spans="1:6" x14ac:dyDescent="0.3">
      <c r="A65" s="22"/>
      <c r="B65" s="22"/>
      <c r="C65" s="1">
        <v>4</v>
      </c>
      <c r="D65" s="3">
        <v>9.7651583782437292E-3</v>
      </c>
      <c r="E65" s="23"/>
      <c r="F65" s="23"/>
    </row>
    <row r="66" spans="1:6" x14ac:dyDescent="0.3">
      <c r="A66" s="22"/>
      <c r="B66" s="22"/>
      <c r="C66" s="1">
        <v>5</v>
      </c>
      <c r="D66" s="3">
        <v>3.9790135573412504E-3</v>
      </c>
      <c r="E66" s="23"/>
      <c r="F66" s="23"/>
    </row>
    <row r="67" spans="1:6" x14ac:dyDescent="0.3">
      <c r="A67" s="22"/>
      <c r="B67" s="22"/>
      <c r="C67" s="1">
        <v>6</v>
      </c>
      <c r="D67" s="3">
        <v>9.5050643919983892E-3</v>
      </c>
      <c r="E67" s="23"/>
      <c r="F67" s="23"/>
    </row>
    <row r="68" spans="1:6" x14ac:dyDescent="0.3">
      <c r="A68" s="22"/>
      <c r="B68" s="22"/>
      <c r="C68" s="1">
        <v>7</v>
      </c>
      <c r="D68" s="3">
        <v>7.4540737367528196E-3</v>
      </c>
      <c r="E68" s="23"/>
      <c r="F68" s="23"/>
    </row>
    <row r="69" spans="1:6" x14ac:dyDescent="0.3">
      <c r="A69" s="22"/>
      <c r="B69" s="22"/>
      <c r="C69" s="1">
        <v>8</v>
      </c>
      <c r="D69" s="3">
        <v>7.4762744869634502E-3</v>
      </c>
      <c r="E69" s="23"/>
      <c r="F69" s="23"/>
    </row>
    <row r="70" spans="1:6" x14ac:dyDescent="0.3">
      <c r="A70" s="22"/>
      <c r="B70" s="22"/>
      <c r="C70" s="1">
        <v>9</v>
      </c>
      <c r="D70" s="3">
        <v>7.5092264043993603E-3</v>
      </c>
      <c r="E70" s="23"/>
      <c r="F70" s="23"/>
    </row>
    <row r="71" spans="1:6" x14ac:dyDescent="0.3">
      <c r="A71" s="22"/>
      <c r="B71" s="22"/>
      <c r="C71" s="1">
        <v>10</v>
      </c>
      <c r="D71" s="3">
        <v>1.1132176588651999E-2</v>
      </c>
      <c r="E71" s="23"/>
      <c r="F71" s="23"/>
    </row>
    <row r="72" spans="1:6" x14ac:dyDescent="0.3">
      <c r="A72" s="22"/>
      <c r="B72" s="22"/>
      <c r="C72" s="1">
        <v>11</v>
      </c>
      <c r="D72" s="3">
        <v>7.1866210753317701E-3</v>
      </c>
      <c r="E72" s="23"/>
      <c r="F72" s="23"/>
    </row>
    <row r="73" spans="1:6" x14ac:dyDescent="0.3">
      <c r="A73" s="22"/>
      <c r="B73" s="22"/>
      <c r="C73" s="1">
        <v>12</v>
      </c>
      <c r="D73" s="3">
        <v>1.03178894788258E-2</v>
      </c>
      <c r="E73" s="23"/>
      <c r="F73" s="23"/>
    </row>
    <row r="74" spans="1:6" x14ac:dyDescent="0.3">
      <c r="A74" s="22"/>
      <c r="B74" s="22"/>
      <c r="C74" s="1">
        <v>13</v>
      </c>
      <c r="D74" s="3">
        <v>6.2816288350176002E-3</v>
      </c>
      <c r="E74" s="23"/>
      <c r="F74" s="23"/>
    </row>
    <row r="75" spans="1:6" x14ac:dyDescent="0.3">
      <c r="A75" s="22"/>
      <c r="B75" s="22"/>
      <c r="C75" s="1">
        <v>14</v>
      </c>
      <c r="D75" s="3">
        <v>6.5424899246646203E-3</v>
      </c>
      <c r="E75" s="23"/>
      <c r="F75" s="23"/>
    </row>
    <row r="76" spans="1:6" x14ac:dyDescent="0.3">
      <c r="A76" s="22"/>
      <c r="B76" s="22"/>
      <c r="C76" s="1">
        <v>15</v>
      </c>
      <c r="D76" s="3">
        <v>7.8396271101315793E-3</v>
      </c>
      <c r="E76" s="23"/>
      <c r="F76" s="23"/>
    </row>
    <row r="77" spans="1:6" x14ac:dyDescent="0.3">
      <c r="A77" s="22"/>
      <c r="B77" s="22"/>
      <c r="C77" s="1">
        <v>16</v>
      </c>
      <c r="D77" s="3">
        <v>7.0121920486306E-3</v>
      </c>
      <c r="E77" s="23"/>
      <c r="F77" s="23"/>
    </row>
    <row r="78" spans="1:6" x14ac:dyDescent="0.3">
      <c r="A78" s="22"/>
      <c r="B78" s="22"/>
      <c r="C78" s="1">
        <v>17</v>
      </c>
      <c r="D78" s="3">
        <v>9.5777494264601398E-3</v>
      </c>
      <c r="E78" s="23"/>
      <c r="F78" s="23"/>
    </row>
    <row r="79" spans="1:6" x14ac:dyDescent="0.3">
      <c r="A79" s="22"/>
      <c r="B79" s="22"/>
      <c r="C79" s="1">
        <v>18</v>
      </c>
      <c r="D79" s="3">
        <v>9.4198512280935006E-3</v>
      </c>
      <c r="E79" s="23"/>
      <c r="F79" s="23"/>
    </row>
    <row r="80" spans="1:6" x14ac:dyDescent="0.3">
      <c r="A80" s="22"/>
      <c r="B80" s="22"/>
      <c r="C80" s="1">
        <v>19</v>
      </c>
      <c r="D80" s="3">
        <v>3.0438556686175201E-3</v>
      </c>
      <c r="E80" s="23"/>
      <c r="F80" s="23"/>
    </row>
    <row r="81" spans="1:6" x14ac:dyDescent="0.3">
      <c r="A81" s="22"/>
      <c r="B81" s="22"/>
      <c r="C81" s="1">
        <v>20</v>
      </c>
      <c r="D81" s="3">
        <v>6.8124215902864802E-3</v>
      </c>
      <c r="E81" s="23"/>
      <c r="F81" s="23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21">
    <cfRule type="top10" dxfId="31" priority="4" rank="10"/>
  </conditionalFormatting>
  <conditionalFormatting sqref="D22:D41">
    <cfRule type="top10" dxfId="30" priority="3" rank="10"/>
  </conditionalFormatting>
  <conditionalFormatting sqref="D42:D61">
    <cfRule type="top10" dxfId="29" priority="2" bottom="1" rank="10"/>
  </conditionalFormatting>
  <conditionalFormatting sqref="D62:D81">
    <cfRule type="top10" dxfId="28" priority="1" bottom="1" rank="1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AC7C-936D-40C4-8BC1-6B039D7C594B}">
  <dimension ref="A1:G81"/>
  <sheetViews>
    <sheetView zoomScale="140" zoomScaleNormal="140" workbookViewId="0">
      <selection activeCell="A62" sqref="A62:A8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6</v>
      </c>
      <c r="B2" s="22" t="s">
        <v>9</v>
      </c>
      <c r="C2" s="1">
        <v>1</v>
      </c>
      <c r="D2" s="3">
        <v>8.4564763474451396E-3</v>
      </c>
      <c r="E2" s="23">
        <f>AVERAGE(D2:D21)</f>
        <v>8.3775689176081962E-3</v>
      </c>
      <c r="F2" s="18">
        <f>AVERAGE(D2,D3,D6,D7,D9,D11,D14,D15,D17,D19)</f>
        <v>8.4901476759025839E-3</v>
      </c>
    </row>
    <row r="3" spans="1:6" x14ac:dyDescent="0.3">
      <c r="A3" s="22"/>
      <c r="B3" s="22"/>
      <c r="C3" s="1">
        <v>2</v>
      </c>
      <c r="D3" s="3">
        <v>8.4579754470519193E-3</v>
      </c>
      <c r="E3" s="23"/>
      <c r="F3" s="19"/>
    </row>
    <row r="4" spans="1:6" x14ac:dyDescent="0.3">
      <c r="A4" s="22"/>
      <c r="B4" s="22"/>
      <c r="C4" s="1">
        <v>3</v>
      </c>
      <c r="D4" s="3">
        <v>8.2395338144664702E-3</v>
      </c>
      <c r="E4" s="23"/>
      <c r="F4" s="19"/>
    </row>
    <row r="5" spans="1:6" x14ac:dyDescent="0.3">
      <c r="A5" s="22"/>
      <c r="B5" s="22"/>
      <c r="C5" s="1">
        <v>4</v>
      </c>
      <c r="D5" s="3">
        <v>8.2188412939552796E-3</v>
      </c>
      <c r="E5" s="23"/>
      <c r="F5" s="19"/>
    </row>
    <row r="6" spans="1:6" x14ac:dyDescent="0.3">
      <c r="A6" s="22"/>
      <c r="B6" s="22"/>
      <c r="C6" s="1">
        <v>5</v>
      </c>
      <c r="D6" s="3">
        <v>8.4149180211845996E-3</v>
      </c>
      <c r="E6" s="23"/>
      <c r="F6" s="19"/>
    </row>
    <row r="7" spans="1:6" x14ac:dyDescent="0.3">
      <c r="A7" s="22"/>
      <c r="B7" s="22"/>
      <c r="C7" s="1">
        <v>6</v>
      </c>
      <c r="D7" s="3">
        <v>8.5156105887332408E-3</v>
      </c>
      <c r="E7" s="23"/>
      <c r="F7" s="19"/>
    </row>
    <row r="8" spans="1:6" x14ac:dyDescent="0.3">
      <c r="A8" s="22"/>
      <c r="B8" s="22"/>
      <c r="C8" s="1">
        <v>7</v>
      </c>
      <c r="D8" s="3">
        <v>8.2049425739000297E-3</v>
      </c>
      <c r="E8" s="23"/>
      <c r="F8" s="19"/>
    </row>
    <row r="9" spans="1:6" x14ac:dyDescent="0.3">
      <c r="A9" s="22"/>
      <c r="B9" s="22"/>
      <c r="C9" s="1">
        <v>8</v>
      </c>
      <c r="D9" s="3">
        <v>8.4925237344880104E-3</v>
      </c>
      <c r="E9" s="23"/>
      <c r="F9" s="19"/>
    </row>
    <row r="10" spans="1:6" x14ac:dyDescent="0.3">
      <c r="A10" s="22"/>
      <c r="B10" s="22"/>
      <c r="C10" s="1">
        <v>9</v>
      </c>
      <c r="D10" s="3">
        <v>8.3018782971462403E-3</v>
      </c>
      <c r="E10" s="23"/>
      <c r="F10" s="19"/>
    </row>
    <row r="11" spans="1:6" x14ac:dyDescent="0.3">
      <c r="A11" s="22"/>
      <c r="B11" s="22"/>
      <c r="C11" s="1">
        <v>10</v>
      </c>
      <c r="D11" s="3">
        <v>8.5906098929944604E-3</v>
      </c>
      <c r="E11" s="23"/>
      <c r="F11" s="19"/>
    </row>
    <row r="12" spans="1:6" x14ac:dyDescent="0.3">
      <c r="A12" s="22"/>
      <c r="B12" s="22"/>
      <c r="C12" s="1">
        <v>11</v>
      </c>
      <c r="D12" s="3">
        <v>8.3444735584454997E-3</v>
      </c>
      <c r="E12" s="23"/>
      <c r="F12" s="19"/>
    </row>
    <row r="13" spans="1:6" x14ac:dyDescent="0.3">
      <c r="A13" s="22"/>
      <c r="B13" s="22"/>
      <c r="C13" s="1">
        <v>12</v>
      </c>
      <c r="D13" s="3">
        <v>8.2143235738836896E-3</v>
      </c>
      <c r="E13" s="23"/>
      <c r="F13" s="19"/>
    </row>
    <row r="14" spans="1:6" x14ac:dyDescent="0.3">
      <c r="A14" s="22"/>
      <c r="B14" s="22"/>
      <c r="C14" s="1">
        <v>13</v>
      </c>
      <c r="D14" s="3">
        <v>8.4570310019296806E-3</v>
      </c>
      <c r="E14" s="23"/>
      <c r="F14" s="19"/>
    </row>
    <row r="15" spans="1:6" x14ac:dyDescent="0.3">
      <c r="A15" s="22"/>
      <c r="B15" s="22"/>
      <c r="C15" s="1">
        <v>14</v>
      </c>
      <c r="D15" s="3">
        <v>8.6144552867900605E-3</v>
      </c>
      <c r="E15" s="23"/>
      <c r="F15" s="19"/>
    </row>
    <row r="16" spans="1:6" x14ac:dyDescent="0.3">
      <c r="A16" s="22"/>
      <c r="B16" s="22"/>
      <c r="C16" s="1">
        <v>15</v>
      </c>
      <c r="D16" s="3">
        <v>8.1257031553689692E-3</v>
      </c>
      <c r="E16" s="23"/>
      <c r="F16" s="19"/>
    </row>
    <row r="17" spans="1:6" x14ac:dyDescent="0.3">
      <c r="A17" s="22"/>
      <c r="B17" s="22"/>
      <c r="C17" s="1">
        <v>16</v>
      </c>
      <c r="D17" s="3">
        <v>8.3711222187129002E-3</v>
      </c>
      <c r="E17" s="23"/>
      <c r="F17" s="19"/>
    </row>
    <row r="18" spans="1:6" x14ac:dyDescent="0.3">
      <c r="A18" s="22"/>
      <c r="B18" s="22"/>
      <c r="C18" s="1">
        <v>17</v>
      </c>
      <c r="D18" s="3">
        <v>8.2991354195743102E-3</v>
      </c>
      <c r="E18" s="23"/>
      <c r="F18" s="19"/>
    </row>
    <row r="19" spans="1:6" x14ac:dyDescent="0.3">
      <c r="A19" s="22"/>
      <c r="B19" s="22"/>
      <c r="C19" s="1">
        <v>18</v>
      </c>
      <c r="D19" s="3">
        <v>8.5307542196958203E-3</v>
      </c>
      <c r="E19" s="23"/>
      <c r="F19" s="19"/>
    </row>
    <row r="20" spans="1:6" x14ac:dyDescent="0.3">
      <c r="A20" s="22"/>
      <c r="B20" s="22"/>
      <c r="C20" s="1">
        <v>19</v>
      </c>
      <c r="D20" s="3">
        <v>8.3505798597183906E-3</v>
      </c>
      <c r="E20" s="23"/>
      <c r="F20" s="19"/>
    </row>
    <row r="21" spans="1:6" x14ac:dyDescent="0.3">
      <c r="A21" s="22"/>
      <c r="B21" s="22"/>
      <c r="C21" s="1">
        <v>20</v>
      </c>
      <c r="D21" s="3">
        <v>8.3504900466792199E-3</v>
      </c>
      <c r="E21" s="23"/>
      <c r="F21" s="20"/>
    </row>
    <row r="22" spans="1:6" x14ac:dyDescent="0.3">
      <c r="A22" s="22" t="s">
        <v>6</v>
      </c>
      <c r="B22" s="22" t="s">
        <v>10</v>
      </c>
      <c r="C22" s="1">
        <v>1</v>
      </c>
      <c r="D22" s="3">
        <v>7.5577295247130499E-3</v>
      </c>
      <c r="E22" s="23">
        <f>AVERAGE(D22:D41)</f>
        <v>7.2749862265618567E-3</v>
      </c>
      <c r="F22" s="18">
        <f>AVERAGE(D22,D24,D26,D28,D31,D36:D37,D39:D41)</f>
        <v>7.3817051990258259E-3</v>
      </c>
    </row>
    <row r="23" spans="1:6" x14ac:dyDescent="0.3">
      <c r="A23" s="22"/>
      <c r="B23" s="22"/>
      <c r="C23" s="1">
        <v>2</v>
      </c>
      <c r="D23" s="3">
        <v>7.2577074212052698E-3</v>
      </c>
      <c r="E23" s="23"/>
      <c r="F23" s="19"/>
    </row>
    <row r="24" spans="1:6" x14ac:dyDescent="0.3">
      <c r="A24" s="22"/>
      <c r="B24" s="22"/>
      <c r="C24" s="1">
        <v>3</v>
      </c>
      <c r="D24" s="3">
        <v>7.36107308984894E-3</v>
      </c>
      <c r="E24" s="23"/>
      <c r="F24" s="19"/>
    </row>
    <row r="25" spans="1:6" x14ac:dyDescent="0.3">
      <c r="A25" s="22"/>
      <c r="B25" s="22"/>
      <c r="C25" s="1">
        <v>4</v>
      </c>
      <c r="D25" s="3">
        <v>7.0616200009351896E-3</v>
      </c>
      <c r="E25" s="23"/>
      <c r="F25" s="19"/>
    </row>
    <row r="26" spans="1:6" x14ac:dyDescent="0.3">
      <c r="A26" s="22"/>
      <c r="B26" s="22"/>
      <c r="C26" s="1">
        <v>5</v>
      </c>
      <c r="D26" s="3">
        <v>7.3173761848583001E-3</v>
      </c>
      <c r="E26" s="23"/>
      <c r="F26" s="19"/>
    </row>
    <row r="27" spans="1:6" x14ac:dyDescent="0.3">
      <c r="A27" s="22"/>
      <c r="B27" s="22"/>
      <c r="C27" s="1">
        <v>6</v>
      </c>
      <c r="D27" s="3">
        <v>7.2040915620434302E-3</v>
      </c>
      <c r="E27" s="23"/>
      <c r="F27" s="19"/>
    </row>
    <row r="28" spans="1:6" x14ac:dyDescent="0.3">
      <c r="A28" s="22"/>
      <c r="B28" s="22"/>
      <c r="C28" s="1">
        <v>7</v>
      </c>
      <c r="D28" s="3">
        <v>7.2691903502957603E-3</v>
      </c>
      <c r="E28" s="23"/>
      <c r="F28" s="19"/>
    </row>
    <row r="29" spans="1:6" x14ac:dyDescent="0.3">
      <c r="A29" s="22"/>
      <c r="B29" s="22"/>
      <c r="C29" s="1">
        <v>8</v>
      </c>
      <c r="D29" s="3">
        <v>7.1158290547289798E-3</v>
      </c>
      <c r="E29" s="23"/>
      <c r="F29" s="19"/>
    </row>
    <row r="30" spans="1:6" x14ac:dyDescent="0.3">
      <c r="A30" s="22"/>
      <c r="B30" s="22"/>
      <c r="C30" s="1">
        <v>9</v>
      </c>
      <c r="D30" s="3">
        <v>7.2111694726930799E-3</v>
      </c>
      <c r="E30" s="23"/>
      <c r="F30" s="19"/>
    </row>
    <row r="31" spans="1:6" x14ac:dyDescent="0.3">
      <c r="A31" s="22"/>
      <c r="B31" s="22"/>
      <c r="C31" s="1">
        <v>10</v>
      </c>
      <c r="D31" s="3">
        <v>7.47534653336571E-3</v>
      </c>
      <c r="E31" s="23"/>
      <c r="F31" s="19"/>
    </row>
    <row r="32" spans="1:6" x14ac:dyDescent="0.3">
      <c r="A32" s="22"/>
      <c r="B32" s="22"/>
      <c r="C32" s="1">
        <v>11</v>
      </c>
      <c r="D32" s="3">
        <v>7.2273882477084496E-3</v>
      </c>
      <c r="E32" s="23"/>
      <c r="F32" s="19"/>
    </row>
    <row r="33" spans="1:6" x14ac:dyDescent="0.3">
      <c r="A33" s="22"/>
      <c r="B33" s="22"/>
      <c r="C33" s="1">
        <v>12</v>
      </c>
      <c r="D33" s="3">
        <v>7.1861727246906098E-3</v>
      </c>
      <c r="E33" s="23"/>
      <c r="F33" s="19"/>
    </row>
    <row r="34" spans="1:6" x14ac:dyDescent="0.3">
      <c r="A34" s="22"/>
      <c r="B34" s="22"/>
      <c r="C34" s="1">
        <v>13</v>
      </c>
      <c r="D34" s="3">
        <v>7.1926703981644597E-3</v>
      </c>
      <c r="E34" s="23"/>
      <c r="F34" s="19"/>
    </row>
    <row r="35" spans="1:6" x14ac:dyDescent="0.3">
      <c r="A35" s="22"/>
      <c r="B35" s="22"/>
      <c r="C35" s="1">
        <v>14</v>
      </c>
      <c r="D35" s="3">
        <v>7.02880127151861E-3</v>
      </c>
      <c r="E35" s="23"/>
      <c r="F35" s="19"/>
    </row>
    <row r="36" spans="1:6" x14ac:dyDescent="0.3">
      <c r="A36" s="22"/>
      <c r="B36" s="22"/>
      <c r="C36" s="1">
        <v>15</v>
      </c>
      <c r="D36" s="3">
        <v>7.41151943693465E-3</v>
      </c>
      <c r="E36" s="23"/>
      <c r="F36" s="19"/>
    </row>
    <row r="37" spans="1:6" x14ac:dyDescent="0.3">
      <c r="A37" s="22"/>
      <c r="B37" s="22"/>
      <c r="C37" s="1">
        <v>16</v>
      </c>
      <c r="D37" s="3">
        <v>7.3458161012885104E-3</v>
      </c>
      <c r="E37" s="23"/>
      <c r="F37" s="19"/>
    </row>
    <row r="38" spans="1:6" x14ac:dyDescent="0.3">
      <c r="A38" s="22"/>
      <c r="B38" s="22"/>
      <c r="C38" s="1">
        <v>17</v>
      </c>
      <c r="D38" s="3">
        <v>7.1972223872907998E-3</v>
      </c>
      <c r="E38" s="23"/>
      <c r="F38" s="19"/>
    </row>
    <row r="39" spans="1:6" x14ac:dyDescent="0.3">
      <c r="A39" s="22"/>
      <c r="B39" s="22"/>
      <c r="C39" s="1">
        <v>18</v>
      </c>
      <c r="D39" s="3">
        <v>7.3754548326963399E-3</v>
      </c>
      <c r="E39" s="23"/>
      <c r="F39" s="19"/>
    </row>
    <row r="40" spans="1:6" x14ac:dyDescent="0.3">
      <c r="A40" s="22"/>
      <c r="B40" s="22"/>
      <c r="C40" s="1">
        <v>19</v>
      </c>
      <c r="D40" s="3">
        <v>7.3361744762232102E-3</v>
      </c>
      <c r="E40" s="23"/>
      <c r="F40" s="19"/>
    </row>
    <row r="41" spans="1:6" x14ac:dyDescent="0.3">
      <c r="A41" s="22"/>
      <c r="B41" s="22"/>
      <c r="C41" s="1">
        <v>20</v>
      </c>
      <c r="D41" s="3">
        <v>7.3673714600338003E-3</v>
      </c>
      <c r="E41" s="23"/>
      <c r="F41" s="20"/>
    </row>
    <row r="42" spans="1:6" x14ac:dyDescent="0.3">
      <c r="A42" s="22" t="s">
        <v>6</v>
      </c>
      <c r="B42" s="22" t="s">
        <v>20</v>
      </c>
      <c r="C42" s="1">
        <v>1</v>
      </c>
      <c r="D42" s="3">
        <v>6.9231224715440498E-3</v>
      </c>
      <c r="E42" s="23">
        <f>AVERAGE(D42:D61)</f>
        <v>7.0685121903172844E-3</v>
      </c>
      <c r="F42" s="18">
        <f>AVERAGE(D42,D44,D46:D47,D49,D51:D52,D55,D58,D61)</f>
        <v>6.8995016427717227E-3</v>
      </c>
    </row>
    <row r="43" spans="1:6" x14ac:dyDescent="0.3">
      <c r="A43" s="22"/>
      <c r="B43" s="22"/>
      <c r="C43" s="1">
        <v>2</v>
      </c>
      <c r="D43" s="3">
        <v>7.23446699361255E-3</v>
      </c>
      <c r="E43" s="23"/>
      <c r="F43" s="19"/>
    </row>
    <row r="44" spans="1:6" x14ac:dyDescent="0.3">
      <c r="A44" s="22"/>
      <c r="B44" s="22"/>
      <c r="C44" s="1">
        <v>3</v>
      </c>
      <c r="D44" s="3">
        <v>6.9362388729810199E-3</v>
      </c>
      <c r="E44" s="23"/>
      <c r="F44" s="19"/>
    </row>
    <row r="45" spans="1:6" x14ac:dyDescent="0.3">
      <c r="A45" s="22"/>
      <c r="B45" s="22"/>
      <c r="C45" s="1">
        <v>4</v>
      </c>
      <c r="D45" s="3">
        <v>7.4215696528995801E-3</v>
      </c>
      <c r="E45" s="23"/>
      <c r="F45" s="19"/>
    </row>
    <row r="46" spans="1:6" x14ac:dyDescent="0.3">
      <c r="A46" s="22"/>
      <c r="B46" s="22"/>
      <c r="C46" s="1">
        <v>5</v>
      </c>
      <c r="D46" s="3">
        <v>7.0191034033137397E-3</v>
      </c>
      <c r="E46" s="23"/>
      <c r="F46" s="19"/>
    </row>
    <row r="47" spans="1:6" x14ac:dyDescent="0.3">
      <c r="A47" s="22"/>
      <c r="B47" s="22"/>
      <c r="C47" s="1">
        <v>6</v>
      </c>
      <c r="D47" s="3">
        <v>6.7454033353900999E-3</v>
      </c>
      <c r="E47" s="23"/>
      <c r="F47" s="19"/>
    </row>
    <row r="48" spans="1:6" x14ac:dyDescent="0.3">
      <c r="A48" s="22"/>
      <c r="B48" s="22"/>
      <c r="C48" s="1">
        <v>7</v>
      </c>
      <c r="D48" s="3">
        <v>7.4228302311956304E-3</v>
      </c>
      <c r="E48" s="23"/>
      <c r="F48" s="19"/>
    </row>
    <row r="49" spans="1:6" x14ac:dyDescent="0.3">
      <c r="A49" s="22"/>
      <c r="B49" s="22"/>
      <c r="C49" s="1">
        <v>8</v>
      </c>
      <c r="D49" s="3">
        <v>6.9226508285290204E-3</v>
      </c>
      <c r="E49" s="23"/>
      <c r="F49" s="19"/>
    </row>
    <row r="50" spans="1:6" x14ac:dyDescent="0.3">
      <c r="A50" s="22"/>
      <c r="B50" s="22"/>
      <c r="C50" s="1">
        <v>9</v>
      </c>
      <c r="D50" s="3">
        <v>7.0504886813189498E-3</v>
      </c>
      <c r="E50" s="23"/>
      <c r="F50" s="19"/>
    </row>
    <row r="51" spans="1:6" x14ac:dyDescent="0.3">
      <c r="A51" s="22"/>
      <c r="B51" s="22"/>
      <c r="C51" s="1">
        <v>10</v>
      </c>
      <c r="D51" s="3">
        <v>6.8973468735956797E-3</v>
      </c>
      <c r="E51" s="23"/>
      <c r="F51" s="19"/>
    </row>
    <row r="52" spans="1:6" x14ac:dyDescent="0.3">
      <c r="A52" s="22"/>
      <c r="B52" s="22"/>
      <c r="C52" s="1">
        <v>11</v>
      </c>
      <c r="D52" s="3">
        <v>6.9566541651100598E-3</v>
      </c>
      <c r="E52" s="23"/>
      <c r="F52" s="19"/>
    </row>
    <row r="53" spans="1:6" x14ac:dyDescent="0.3">
      <c r="A53" s="22"/>
      <c r="B53" s="22"/>
      <c r="C53" s="1">
        <v>12</v>
      </c>
      <c r="D53" s="3">
        <v>7.15130851496473E-3</v>
      </c>
      <c r="E53" s="23"/>
      <c r="F53" s="19"/>
    </row>
    <row r="54" spans="1:6" x14ac:dyDescent="0.3">
      <c r="A54" s="22"/>
      <c r="B54" s="22"/>
      <c r="C54" s="1">
        <v>13</v>
      </c>
      <c r="D54" s="3">
        <v>7.0931487203595E-3</v>
      </c>
      <c r="E54" s="23"/>
      <c r="F54" s="19"/>
    </row>
    <row r="55" spans="1:6" x14ac:dyDescent="0.3">
      <c r="A55" s="22"/>
      <c r="B55" s="22"/>
      <c r="C55" s="1">
        <v>14</v>
      </c>
      <c r="D55" s="3">
        <v>6.9406552265025697E-3</v>
      </c>
      <c r="E55" s="23"/>
      <c r="F55" s="19"/>
    </row>
    <row r="56" spans="1:6" x14ac:dyDescent="0.3">
      <c r="A56" s="22"/>
      <c r="B56" s="22"/>
      <c r="C56" s="1">
        <v>15</v>
      </c>
      <c r="D56" s="3">
        <v>7.2824898978663304E-3</v>
      </c>
      <c r="E56" s="23"/>
      <c r="F56" s="19"/>
    </row>
    <row r="57" spans="1:6" x14ac:dyDescent="0.3">
      <c r="A57" s="22"/>
      <c r="B57" s="22"/>
      <c r="C57" s="1">
        <v>16</v>
      </c>
      <c r="D57" s="3">
        <v>7.2034735341288299E-3</v>
      </c>
      <c r="E57" s="23"/>
      <c r="F57" s="19"/>
    </row>
    <row r="58" spans="1:6" x14ac:dyDescent="0.3">
      <c r="A58" s="22"/>
      <c r="B58" s="22"/>
      <c r="C58" s="1">
        <v>17</v>
      </c>
      <c r="D58" s="3">
        <v>6.8882537285240696E-3</v>
      </c>
      <c r="E58" s="23"/>
      <c r="F58" s="19"/>
    </row>
    <row r="59" spans="1:6" x14ac:dyDescent="0.3">
      <c r="A59" s="22"/>
      <c r="B59" s="22"/>
      <c r="C59" s="1">
        <v>18</v>
      </c>
      <c r="D59" s="3">
        <v>7.2040469720153801E-3</v>
      </c>
      <c r="E59" s="23"/>
      <c r="F59" s="19"/>
    </row>
    <row r="60" spans="1:6" x14ac:dyDescent="0.3">
      <c r="A60" s="22"/>
      <c r="B60" s="22"/>
      <c r="C60" s="1">
        <v>19</v>
      </c>
      <c r="D60" s="3">
        <v>7.3114041802669798E-3</v>
      </c>
      <c r="E60" s="23"/>
      <c r="F60" s="19"/>
    </row>
    <row r="61" spans="1:6" x14ac:dyDescent="0.3">
      <c r="A61" s="22"/>
      <c r="B61" s="22"/>
      <c r="C61" s="1">
        <v>20</v>
      </c>
      <c r="D61" s="3">
        <v>6.7655875222269197E-3</v>
      </c>
      <c r="E61" s="23"/>
      <c r="F61" s="20"/>
    </row>
    <row r="62" spans="1:6" x14ac:dyDescent="0.3">
      <c r="A62" s="22" t="s">
        <v>6</v>
      </c>
      <c r="B62" s="22" t="s">
        <v>21</v>
      </c>
      <c r="C62" s="1">
        <v>1</v>
      </c>
      <c r="D62" s="3">
        <v>4.6178389035990003E-3</v>
      </c>
      <c r="E62" s="23">
        <f>AVERAGE(D62:D81)</f>
        <v>6.1911150001234217E-3</v>
      </c>
      <c r="F62" s="18">
        <f>AVERAGE(D62,D64:D65,D69:D71,D76:D77,D80:D81)</f>
        <v>5.417698635541519E-3</v>
      </c>
    </row>
    <row r="63" spans="1:6" x14ac:dyDescent="0.3">
      <c r="A63" s="22"/>
      <c r="B63" s="22"/>
      <c r="C63" s="1">
        <v>2</v>
      </c>
      <c r="D63" s="3">
        <v>6.5921379343750397E-3</v>
      </c>
      <c r="E63" s="23"/>
      <c r="F63" s="19"/>
    </row>
    <row r="64" spans="1:6" x14ac:dyDescent="0.3">
      <c r="A64" s="22"/>
      <c r="B64" s="22"/>
      <c r="C64" s="1">
        <v>3</v>
      </c>
      <c r="D64" s="3">
        <v>5.6444414267353398E-3</v>
      </c>
      <c r="E64" s="23"/>
      <c r="F64" s="19"/>
    </row>
    <row r="65" spans="1:6" x14ac:dyDescent="0.3">
      <c r="A65" s="22"/>
      <c r="B65" s="22"/>
      <c r="C65" s="1">
        <v>4</v>
      </c>
      <c r="D65" s="3">
        <v>5.4431003440307303E-3</v>
      </c>
      <c r="E65" s="23"/>
      <c r="F65" s="19"/>
    </row>
    <row r="66" spans="1:6" x14ac:dyDescent="0.3">
      <c r="A66" s="22"/>
      <c r="B66" s="22"/>
      <c r="C66" s="1">
        <v>5</v>
      </c>
      <c r="D66" s="3">
        <v>6.5498013841910003E-3</v>
      </c>
      <c r="E66" s="23"/>
      <c r="F66" s="19"/>
    </row>
    <row r="67" spans="1:6" x14ac:dyDescent="0.3">
      <c r="A67" s="22"/>
      <c r="B67" s="22"/>
      <c r="C67" s="1">
        <v>6</v>
      </c>
      <c r="D67" s="3">
        <v>7.2166332889887401E-3</v>
      </c>
      <c r="E67" s="23"/>
      <c r="F67" s="19"/>
    </row>
    <row r="68" spans="1:6" x14ac:dyDescent="0.3">
      <c r="A68" s="22"/>
      <c r="B68" s="22"/>
      <c r="C68" s="1">
        <v>7</v>
      </c>
      <c r="D68" s="3">
        <v>6.1355844037008101E-3</v>
      </c>
      <c r="E68" s="23"/>
      <c r="F68" s="19"/>
    </row>
    <row r="69" spans="1:6" x14ac:dyDescent="0.3">
      <c r="A69" s="22"/>
      <c r="B69" s="22"/>
      <c r="C69" s="1">
        <v>8</v>
      </c>
      <c r="D69" s="3">
        <v>5.6572368936161996E-3</v>
      </c>
      <c r="E69" s="23"/>
      <c r="F69" s="19"/>
    </row>
    <row r="70" spans="1:6" x14ac:dyDescent="0.3">
      <c r="A70" s="22"/>
      <c r="B70" s="22"/>
      <c r="C70" s="1">
        <v>9</v>
      </c>
      <c r="D70" s="3">
        <v>6.0954117814058899E-3</v>
      </c>
      <c r="E70" s="23"/>
      <c r="F70" s="19"/>
    </row>
    <row r="71" spans="1:6" x14ac:dyDescent="0.3">
      <c r="A71" s="22"/>
      <c r="B71" s="22"/>
      <c r="C71" s="1">
        <v>10</v>
      </c>
      <c r="D71" s="3">
        <v>6.0153326284015799E-3</v>
      </c>
      <c r="E71" s="23"/>
      <c r="F71" s="19"/>
    </row>
    <row r="72" spans="1:6" x14ac:dyDescent="0.3">
      <c r="A72" s="22"/>
      <c r="B72" s="22"/>
      <c r="C72" s="1">
        <v>11</v>
      </c>
      <c r="D72" s="3">
        <v>6.9219512248241003E-3</v>
      </c>
      <c r="E72" s="23"/>
      <c r="F72" s="19"/>
    </row>
    <row r="73" spans="1:6" x14ac:dyDescent="0.3">
      <c r="A73" s="22"/>
      <c r="B73" s="22"/>
      <c r="C73" s="1">
        <v>12</v>
      </c>
      <c r="D73" s="3">
        <v>6.11397285318934E-3</v>
      </c>
      <c r="E73" s="23"/>
      <c r="F73" s="19"/>
    </row>
    <row r="74" spans="1:6" x14ac:dyDescent="0.3">
      <c r="A74" s="22"/>
      <c r="B74" s="22"/>
      <c r="C74" s="1">
        <v>13</v>
      </c>
      <c r="D74" s="3">
        <v>6.6072704713531598E-3</v>
      </c>
      <c r="E74" s="23"/>
      <c r="F74" s="19"/>
    </row>
    <row r="75" spans="1:6" x14ac:dyDescent="0.3">
      <c r="A75" s="22"/>
      <c r="B75" s="22"/>
      <c r="C75" s="1">
        <v>14</v>
      </c>
      <c r="D75" s="3">
        <v>7.1785748195853302E-3</v>
      </c>
      <c r="E75" s="23"/>
      <c r="F75" s="19"/>
    </row>
    <row r="76" spans="1:6" x14ac:dyDescent="0.3">
      <c r="A76" s="22"/>
      <c r="B76" s="22"/>
      <c r="C76" s="1">
        <v>15</v>
      </c>
      <c r="D76" s="3">
        <v>4.5666761759366997E-3</v>
      </c>
      <c r="E76" s="23"/>
      <c r="F76" s="19"/>
    </row>
    <row r="77" spans="1:6" x14ac:dyDescent="0.3">
      <c r="A77" s="22"/>
      <c r="B77" s="22"/>
      <c r="C77" s="1">
        <v>16</v>
      </c>
      <c r="D77" s="3">
        <v>4.9971736087931103E-3</v>
      </c>
      <c r="E77" s="23"/>
      <c r="F77" s="19"/>
    </row>
    <row r="78" spans="1:6" x14ac:dyDescent="0.3">
      <c r="A78" s="22"/>
      <c r="B78" s="22"/>
      <c r="C78" s="1">
        <v>17</v>
      </c>
      <c r="D78" s="3">
        <v>7.51178563251142E-3</v>
      </c>
      <c r="E78" s="23"/>
      <c r="F78" s="19"/>
    </row>
    <row r="79" spans="1:6" x14ac:dyDescent="0.3">
      <c r="A79" s="22"/>
      <c r="B79" s="22"/>
      <c r="C79" s="1">
        <v>18</v>
      </c>
      <c r="D79" s="3">
        <v>8.8176016343343207E-3</v>
      </c>
      <c r="E79" s="23"/>
      <c r="F79" s="19"/>
    </row>
    <row r="80" spans="1:6" x14ac:dyDescent="0.3">
      <c r="A80" s="22"/>
      <c r="B80" s="22"/>
      <c r="C80" s="1">
        <v>19</v>
      </c>
      <c r="D80" s="3">
        <v>5.9805013115278999E-3</v>
      </c>
      <c r="E80" s="23"/>
      <c r="F80" s="19"/>
    </row>
    <row r="81" spans="1:6" x14ac:dyDescent="0.3">
      <c r="A81" s="22"/>
      <c r="B81" s="22"/>
      <c r="C81" s="1">
        <v>20</v>
      </c>
      <c r="D81" s="3">
        <v>5.1592732813687302E-3</v>
      </c>
      <c r="E81" s="23"/>
      <c r="F81" s="20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21">
    <cfRule type="top10" dxfId="27" priority="8" rank="10"/>
  </conditionalFormatting>
  <conditionalFormatting sqref="D22:D41">
    <cfRule type="top10" dxfId="26" priority="7" rank="10"/>
  </conditionalFormatting>
  <conditionalFormatting sqref="D42:D61">
    <cfRule type="top10" dxfId="25" priority="6" bottom="1" rank="10"/>
  </conditionalFormatting>
  <conditionalFormatting sqref="D62:D81">
    <cfRule type="top10" dxfId="24" priority="5" bottom="1" rank="10"/>
  </conditionalFormatting>
  <conditionalFormatting sqref="F2">
    <cfRule type="top10" dxfId="23" priority="4" rank="10"/>
  </conditionalFormatting>
  <conditionalFormatting sqref="F22">
    <cfRule type="top10" dxfId="22" priority="3" rank="10"/>
  </conditionalFormatting>
  <conditionalFormatting sqref="F42">
    <cfRule type="top10" dxfId="21" priority="2" bottom="1" rank="10"/>
  </conditionalFormatting>
  <conditionalFormatting sqref="F62">
    <cfRule type="top10" dxfId="20" priority="1" bottom="1" rank="10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7F09-A486-43FA-AFEC-982A1305ADE3}">
  <dimension ref="A1:G83"/>
  <sheetViews>
    <sheetView topLeftCell="A22" zoomScale="139" zoomScaleNormal="139" workbookViewId="0">
      <selection activeCell="D26" sqref="D26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7</v>
      </c>
      <c r="B2" s="22" t="s">
        <v>9</v>
      </c>
      <c r="C2" s="1">
        <v>1</v>
      </c>
      <c r="D2" s="3">
        <v>2.81366470929909E-3</v>
      </c>
      <c r="E2" s="23">
        <f>AVERAGE(D2:D21)</f>
        <v>2.8513275848922217E-3</v>
      </c>
      <c r="F2" s="18">
        <f>AVERAGE(D3:D4,D7:D11,D15,D18:D19)</f>
        <v>2.9047317535368052E-3</v>
      </c>
    </row>
    <row r="3" spans="1:6" x14ac:dyDescent="0.3">
      <c r="A3" s="22"/>
      <c r="B3" s="22"/>
      <c r="C3" s="1">
        <v>2</v>
      </c>
      <c r="D3" s="3">
        <v>2.9086299843656201E-3</v>
      </c>
      <c r="E3" s="23"/>
      <c r="F3" s="19"/>
    </row>
    <row r="4" spans="1:6" x14ac:dyDescent="0.3">
      <c r="A4" s="22"/>
      <c r="B4" s="22"/>
      <c r="C4" s="1">
        <v>3</v>
      </c>
      <c r="D4" s="3">
        <v>2.8725109233065098E-3</v>
      </c>
      <c r="E4" s="23"/>
      <c r="F4" s="19"/>
    </row>
    <row r="5" spans="1:6" x14ac:dyDescent="0.3">
      <c r="A5" s="22"/>
      <c r="B5" s="22"/>
      <c r="C5" s="1">
        <v>4</v>
      </c>
      <c r="D5" s="3">
        <v>2.7472220866062401E-3</v>
      </c>
      <c r="E5" s="23"/>
      <c r="F5" s="19"/>
    </row>
    <row r="6" spans="1:6" x14ac:dyDescent="0.3">
      <c r="A6" s="22"/>
      <c r="B6" s="22"/>
      <c r="C6" s="1">
        <v>5</v>
      </c>
      <c r="D6" s="3">
        <v>2.8395079487722498E-3</v>
      </c>
      <c r="E6" s="23"/>
      <c r="F6" s="19"/>
    </row>
    <row r="7" spans="1:6" x14ac:dyDescent="0.3">
      <c r="A7" s="22"/>
      <c r="B7" s="22"/>
      <c r="C7" s="1">
        <v>6</v>
      </c>
      <c r="D7" s="3">
        <v>2.9094927500167801E-3</v>
      </c>
      <c r="E7" s="23"/>
      <c r="F7" s="19"/>
    </row>
    <row r="8" spans="1:6" x14ac:dyDescent="0.3">
      <c r="A8" s="22"/>
      <c r="B8" s="22"/>
      <c r="C8" s="1">
        <v>7</v>
      </c>
      <c r="D8" s="3">
        <v>2.9300338678111201E-3</v>
      </c>
      <c r="E8" s="23"/>
      <c r="F8" s="19"/>
    </row>
    <row r="9" spans="1:6" x14ac:dyDescent="0.3">
      <c r="A9" s="22"/>
      <c r="B9" s="22"/>
      <c r="C9" s="1">
        <v>8</v>
      </c>
      <c r="D9" s="3">
        <v>2.8954508177678399E-3</v>
      </c>
      <c r="E9" s="23"/>
      <c r="F9" s="19"/>
    </row>
    <row r="10" spans="1:6" x14ac:dyDescent="0.3">
      <c r="A10" s="22"/>
      <c r="B10" s="22"/>
      <c r="C10" s="1">
        <v>9</v>
      </c>
      <c r="D10" s="3">
        <v>2.86130290885414E-3</v>
      </c>
      <c r="E10" s="23"/>
      <c r="F10" s="19"/>
    </row>
    <row r="11" spans="1:6" x14ac:dyDescent="0.3">
      <c r="A11" s="22"/>
      <c r="B11" s="22"/>
      <c r="C11" s="1">
        <v>10</v>
      </c>
      <c r="D11" s="3">
        <v>2.8834394576333199E-3</v>
      </c>
      <c r="E11" s="23"/>
      <c r="F11" s="19"/>
    </row>
    <row r="12" spans="1:6" x14ac:dyDescent="0.3">
      <c r="A12" s="22"/>
      <c r="B12" s="22"/>
      <c r="C12" s="1">
        <v>11</v>
      </c>
      <c r="D12" s="3">
        <v>2.7874350825794901E-3</v>
      </c>
      <c r="E12" s="23"/>
      <c r="F12" s="19"/>
    </row>
    <row r="13" spans="1:6" x14ac:dyDescent="0.3">
      <c r="A13" s="22"/>
      <c r="B13" s="22"/>
      <c r="C13" s="1">
        <v>12</v>
      </c>
      <c r="D13" s="3">
        <v>2.7525051153243401E-3</v>
      </c>
      <c r="E13" s="23"/>
      <c r="F13" s="19"/>
    </row>
    <row r="14" spans="1:6" x14ac:dyDescent="0.3">
      <c r="A14" s="22"/>
      <c r="B14" s="22"/>
      <c r="C14" s="1">
        <v>13</v>
      </c>
      <c r="D14" s="3">
        <v>2.7662257224752101E-3</v>
      </c>
      <c r="E14" s="23"/>
      <c r="F14" s="19"/>
    </row>
    <row r="15" spans="1:6" x14ac:dyDescent="0.3">
      <c r="A15" s="22"/>
      <c r="B15" s="22"/>
      <c r="C15" s="1">
        <v>14</v>
      </c>
      <c r="D15" s="3">
        <v>2.9406589041873102E-3</v>
      </c>
      <c r="E15" s="23"/>
      <c r="F15" s="19"/>
    </row>
    <row r="16" spans="1:6" x14ac:dyDescent="0.3">
      <c r="A16" s="22"/>
      <c r="B16" s="22"/>
      <c r="C16" s="1">
        <v>15</v>
      </c>
      <c r="D16" s="3">
        <v>2.8370305583636998E-3</v>
      </c>
      <c r="E16" s="23"/>
      <c r="F16" s="19"/>
    </row>
    <row r="17" spans="1:6" x14ac:dyDescent="0.3">
      <c r="A17" s="22"/>
      <c r="B17" s="22"/>
      <c r="C17" s="1">
        <v>16</v>
      </c>
      <c r="D17" s="3">
        <v>2.8178603662805399E-3</v>
      </c>
      <c r="E17" s="23"/>
      <c r="F17" s="19"/>
    </row>
    <row r="18" spans="1:6" x14ac:dyDescent="0.3">
      <c r="A18" s="22"/>
      <c r="B18" s="22"/>
      <c r="C18" s="1">
        <v>17</v>
      </c>
      <c r="D18" s="13">
        <v>2.9661436358707099E-3</v>
      </c>
      <c r="E18" s="23"/>
      <c r="F18" s="19"/>
    </row>
    <row r="19" spans="1:6" x14ac:dyDescent="0.3">
      <c r="A19" s="22"/>
      <c r="B19" s="22"/>
      <c r="C19" s="1">
        <v>18</v>
      </c>
      <c r="D19" s="3">
        <v>2.8796542855546998E-3</v>
      </c>
      <c r="E19" s="23"/>
      <c r="F19" s="19"/>
    </row>
    <row r="20" spans="1:6" x14ac:dyDescent="0.3">
      <c r="A20" s="22"/>
      <c r="B20" s="22"/>
      <c r="C20" s="1">
        <v>19</v>
      </c>
      <c r="D20" s="3">
        <v>2.8219944771796799E-3</v>
      </c>
      <c r="E20" s="23"/>
      <c r="F20" s="19"/>
    </row>
    <row r="21" spans="1:6" x14ac:dyDescent="0.3">
      <c r="A21" s="22"/>
      <c r="B21" s="22"/>
      <c r="C21" s="1">
        <v>20</v>
      </c>
      <c r="D21" s="3">
        <v>2.7957880955958498E-3</v>
      </c>
      <c r="E21" s="23"/>
      <c r="F21" s="20"/>
    </row>
    <row r="22" spans="1:6" x14ac:dyDescent="0.3">
      <c r="A22" s="22" t="s">
        <v>7</v>
      </c>
      <c r="B22" s="22" t="s">
        <v>10</v>
      </c>
      <c r="C22" s="1">
        <v>1</v>
      </c>
      <c r="D22" s="3">
        <v>2.4381599990933901E-3</v>
      </c>
      <c r="E22" s="23">
        <f>AVERAGE(D22:D41)</f>
        <v>2.6316297362044268E-3</v>
      </c>
      <c r="F22" s="18">
        <f>AVERAGE(D26,D28,D31:D33,D35,D37:D38,D40:D41)</f>
        <v>2.9285994316255895E-3</v>
      </c>
    </row>
    <row r="23" spans="1:6" x14ac:dyDescent="0.3">
      <c r="A23" s="22"/>
      <c r="B23" s="22"/>
      <c r="C23" s="1">
        <v>2</v>
      </c>
      <c r="D23" s="3">
        <v>2.6282434237133502E-3</v>
      </c>
      <c r="E23" s="23"/>
      <c r="F23" s="19"/>
    </row>
    <row r="24" spans="1:6" x14ac:dyDescent="0.3">
      <c r="A24" s="22"/>
      <c r="B24" s="22"/>
      <c r="C24" s="1">
        <v>3</v>
      </c>
      <c r="D24" s="3">
        <v>2.3461147455381701E-3</v>
      </c>
      <c r="E24" s="23"/>
      <c r="F24" s="19"/>
    </row>
    <row r="25" spans="1:6" x14ac:dyDescent="0.3">
      <c r="A25" s="22"/>
      <c r="B25" s="22"/>
      <c r="C25" s="1">
        <v>4</v>
      </c>
      <c r="D25" s="3">
        <v>2.7524372879068298E-3</v>
      </c>
      <c r="E25" s="23"/>
      <c r="F25" s="19"/>
    </row>
    <row r="26" spans="1:6" x14ac:dyDescent="0.3">
      <c r="A26" s="22"/>
      <c r="B26" s="22"/>
      <c r="C26" s="1">
        <v>5</v>
      </c>
      <c r="D26" s="13">
        <v>3.2472745789499402E-3</v>
      </c>
      <c r="E26" s="23"/>
      <c r="F26" s="19"/>
    </row>
    <row r="27" spans="1:6" x14ac:dyDescent="0.3">
      <c r="A27" s="22"/>
      <c r="B27" s="22"/>
      <c r="C27" s="1">
        <v>6</v>
      </c>
      <c r="D27" s="3">
        <v>2.5237854282296E-3</v>
      </c>
      <c r="E27" s="23"/>
      <c r="F27" s="19"/>
    </row>
    <row r="28" spans="1:6" x14ac:dyDescent="0.3">
      <c r="A28" s="22"/>
      <c r="B28" s="22"/>
      <c r="C28" s="1">
        <v>7</v>
      </c>
      <c r="D28" s="3">
        <v>2.9887873260404599E-3</v>
      </c>
      <c r="E28" s="23"/>
      <c r="F28" s="19"/>
    </row>
    <row r="29" spans="1:6" x14ac:dyDescent="0.3">
      <c r="A29" s="22"/>
      <c r="B29" s="22"/>
      <c r="C29" s="1">
        <v>8</v>
      </c>
      <c r="D29" s="3">
        <v>2.06526349558706E-3</v>
      </c>
      <c r="E29" s="23"/>
      <c r="F29" s="19"/>
    </row>
    <row r="30" spans="1:6" x14ac:dyDescent="0.3">
      <c r="A30" s="22"/>
      <c r="B30" s="22"/>
      <c r="C30" s="1">
        <v>9</v>
      </c>
      <c r="D30" s="3">
        <v>2.6816447983030599E-3</v>
      </c>
      <c r="E30" s="23"/>
      <c r="F30" s="19"/>
    </row>
    <row r="31" spans="1:6" x14ac:dyDescent="0.3">
      <c r="A31" s="22"/>
      <c r="B31" s="22"/>
      <c r="C31" s="1">
        <v>10</v>
      </c>
      <c r="D31" s="3">
        <v>2.7565596821078398E-3</v>
      </c>
      <c r="E31" s="23"/>
      <c r="F31" s="19"/>
    </row>
    <row r="32" spans="1:6" x14ac:dyDescent="0.3">
      <c r="A32" s="22"/>
      <c r="B32" s="22"/>
      <c r="C32" s="1">
        <v>11</v>
      </c>
      <c r="D32" s="3">
        <v>2.7553046452244798E-3</v>
      </c>
      <c r="E32" s="23"/>
      <c r="F32" s="19"/>
    </row>
    <row r="33" spans="1:6" x14ac:dyDescent="0.3">
      <c r="A33" s="22"/>
      <c r="B33" s="22"/>
      <c r="C33" s="1">
        <v>12</v>
      </c>
      <c r="D33" s="3">
        <v>3.1897007707068202E-3</v>
      </c>
      <c r="E33" s="23"/>
      <c r="F33" s="19"/>
    </row>
    <row r="34" spans="1:6" x14ac:dyDescent="0.3">
      <c r="A34" s="22"/>
      <c r="B34" s="22"/>
      <c r="C34" s="1">
        <v>13</v>
      </c>
      <c r="D34" s="3">
        <v>2.35548027007934E-3</v>
      </c>
      <c r="E34" s="23"/>
      <c r="F34" s="19"/>
    </row>
    <row r="35" spans="1:6" x14ac:dyDescent="0.3">
      <c r="A35" s="22"/>
      <c r="B35" s="22"/>
      <c r="C35" s="1">
        <v>14</v>
      </c>
      <c r="D35" s="3">
        <v>2.8436489535965501E-3</v>
      </c>
      <c r="E35" s="23"/>
      <c r="F35" s="19"/>
    </row>
    <row r="36" spans="1:6" x14ac:dyDescent="0.3">
      <c r="A36" s="22"/>
      <c r="B36" s="22"/>
      <c r="C36" s="1">
        <v>15</v>
      </c>
      <c r="D36" s="3">
        <v>1.70148443487083E-3</v>
      </c>
      <c r="E36" s="23"/>
      <c r="F36" s="19"/>
    </row>
    <row r="37" spans="1:6" x14ac:dyDescent="0.3">
      <c r="A37" s="22"/>
      <c r="B37" s="22"/>
      <c r="C37" s="1">
        <v>16</v>
      </c>
      <c r="D37" s="3">
        <v>2.7788672642603202E-3</v>
      </c>
      <c r="E37" s="23"/>
      <c r="F37" s="19"/>
    </row>
    <row r="38" spans="1:6" x14ac:dyDescent="0.3">
      <c r="A38" s="22"/>
      <c r="B38" s="22"/>
      <c r="C38" s="1">
        <v>17</v>
      </c>
      <c r="D38" s="3">
        <v>3.0725315266457E-3</v>
      </c>
      <c r="E38" s="23"/>
      <c r="F38" s="19"/>
    </row>
    <row r="39" spans="1:6" x14ac:dyDescent="0.3">
      <c r="A39" s="22"/>
      <c r="B39" s="22"/>
      <c r="C39" s="1">
        <v>18</v>
      </c>
      <c r="D39" s="3">
        <v>1.8539865245109999E-3</v>
      </c>
      <c r="E39" s="23"/>
      <c r="F39" s="19"/>
    </row>
    <row r="40" spans="1:6" x14ac:dyDescent="0.3">
      <c r="A40" s="22"/>
      <c r="B40" s="22"/>
      <c r="C40" s="1">
        <v>19</v>
      </c>
      <c r="D40" s="3">
        <v>2.76319371832273E-3</v>
      </c>
      <c r="E40" s="23"/>
      <c r="F40" s="19"/>
    </row>
    <row r="41" spans="1:6" x14ac:dyDescent="0.3">
      <c r="A41" s="22"/>
      <c r="B41" s="22"/>
      <c r="C41" s="1">
        <v>20</v>
      </c>
      <c r="D41" s="3">
        <v>2.8901258504010598E-3</v>
      </c>
      <c r="E41" s="23"/>
      <c r="F41" s="20"/>
    </row>
    <row r="42" spans="1:6" x14ac:dyDescent="0.3">
      <c r="A42" s="22" t="s">
        <v>7</v>
      </c>
      <c r="B42" s="22" t="s">
        <v>20</v>
      </c>
      <c r="C42" s="1">
        <v>1</v>
      </c>
      <c r="D42" s="3">
        <v>3.3099004965032601E-3</v>
      </c>
      <c r="E42" s="23">
        <f>AVERAGE(D42:D63)</f>
        <v>2.4835742314541576E-3</v>
      </c>
      <c r="F42" s="23">
        <f>AVERAGE(D43,D45:D46,D49,D53:D58)</f>
        <v>2.0862639556031492E-3</v>
      </c>
    </row>
    <row r="43" spans="1:6" x14ac:dyDescent="0.3">
      <c r="A43" s="22"/>
      <c r="B43" s="22"/>
      <c r="C43" s="1">
        <v>2</v>
      </c>
      <c r="D43" s="3">
        <v>2.0223762558382102E-3</v>
      </c>
      <c r="E43" s="23"/>
      <c r="F43" s="23"/>
    </row>
    <row r="44" spans="1:6" x14ac:dyDescent="0.3">
      <c r="A44" s="22"/>
      <c r="B44" s="22"/>
      <c r="C44" s="1">
        <v>3</v>
      </c>
      <c r="D44" s="3">
        <v>2.48460504443907E-3</v>
      </c>
      <c r="E44" s="23"/>
      <c r="F44" s="23"/>
    </row>
    <row r="45" spans="1:6" x14ac:dyDescent="0.3">
      <c r="A45" s="22"/>
      <c r="B45" s="22"/>
      <c r="C45" s="1">
        <v>4</v>
      </c>
      <c r="D45" s="3">
        <v>2.1925517311301699E-3</v>
      </c>
      <c r="E45" s="23"/>
      <c r="F45" s="23"/>
    </row>
    <row r="46" spans="1:6" x14ac:dyDescent="0.3">
      <c r="A46" s="22"/>
      <c r="B46" s="22"/>
      <c r="C46" s="1">
        <v>5</v>
      </c>
      <c r="D46" s="3">
        <v>2.0210547846704601E-3</v>
      </c>
      <c r="E46" s="23"/>
      <c r="F46" s="23"/>
    </row>
    <row r="47" spans="1:6" x14ac:dyDescent="0.3">
      <c r="A47" s="22"/>
      <c r="B47" s="22"/>
      <c r="C47" s="1">
        <v>6</v>
      </c>
      <c r="D47" s="3">
        <v>2.32727791187156E-3</v>
      </c>
      <c r="E47" s="23"/>
      <c r="F47" s="23"/>
    </row>
    <row r="48" spans="1:6" x14ac:dyDescent="0.3">
      <c r="A48" s="22"/>
      <c r="B48" s="22"/>
      <c r="C48" s="1">
        <v>7</v>
      </c>
      <c r="D48" s="3">
        <v>3.3527282363668498E-3</v>
      </c>
      <c r="E48" s="23"/>
      <c r="F48" s="23"/>
    </row>
    <row r="49" spans="1:6" x14ac:dyDescent="0.3">
      <c r="A49" s="22"/>
      <c r="B49" s="22"/>
      <c r="C49" s="1">
        <v>8</v>
      </c>
      <c r="D49" s="3">
        <v>2.00939520752292E-3</v>
      </c>
      <c r="E49" s="23"/>
      <c r="F49" s="23"/>
    </row>
    <row r="50" spans="1:6" x14ac:dyDescent="0.3">
      <c r="A50" s="22"/>
      <c r="B50" s="22"/>
      <c r="C50" s="1">
        <v>9</v>
      </c>
      <c r="D50" s="3">
        <v>2.9226176336739399E-3</v>
      </c>
      <c r="E50" s="23"/>
      <c r="F50" s="23"/>
    </row>
    <row r="51" spans="1:6" x14ac:dyDescent="0.3">
      <c r="A51" s="22"/>
      <c r="B51" s="22"/>
      <c r="C51" s="1">
        <v>10</v>
      </c>
      <c r="D51" s="3">
        <v>2.3055594287943698E-3</v>
      </c>
      <c r="E51" s="23"/>
      <c r="F51" s="23"/>
    </row>
    <row r="52" spans="1:6" x14ac:dyDescent="0.3">
      <c r="A52" s="22"/>
      <c r="B52" s="22"/>
      <c r="C52" s="1">
        <v>11</v>
      </c>
      <c r="D52" s="3">
        <v>3.2286986322523502E-3</v>
      </c>
      <c r="E52" s="23"/>
      <c r="F52" s="23"/>
    </row>
    <row r="53" spans="1:6" x14ac:dyDescent="0.3">
      <c r="A53" s="22"/>
      <c r="B53" s="22"/>
      <c r="C53" s="1">
        <v>12</v>
      </c>
      <c r="D53" s="3">
        <v>2.0678913756985401E-3</v>
      </c>
      <c r="E53" s="23"/>
      <c r="F53" s="23"/>
    </row>
    <row r="54" spans="1:6" x14ac:dyDescent="0.3">
      <c r="A54" s="22"/>
      <c r="B54" s="22"/>
      <c r="C54" s="1">
        <v>13</v>
      </c>
      <c r="D54" s="3">
        <v>1.97292007963753E-3</v>
      </c>
      <c r="E54" s="23"/>
      <c r="F54" s="23"/>
    </row>
    <row r="55" spans="1:6" x14ac:dyDescent="0.3">
      <c r="A55" s="22"/>
      <c r="B55" s="22"/>
      <c r="C55" s="1">
        <v>14</v>
      </c>
      <c r="D55" s="13">
        <v>1.8995918992215899E-3</v>
      </c>
      <c r="E55" s="23"/>
      <c r="F55" s="23"/>
    </row>
    <row r="56" spans="1:6" x14ac:dyDescent="0.3">
      <c r="A56" s="22"/>
      <c r="B56" s="22"/>
      <c r="C56" s="1">
        <v>15</v>
      </c>
      <c r="D56" s="3">
        <v>2.29849091136575E-3</v>
      </c>
      <c r="E56" s="23"/>
      <c r="F56" s="23"/>
    </row>
    <row r="57" spans="1:6" x14ac:dyDescent="0.3">
      <c r="A57" s="22"/>
      <c r="B57" s="22"/>
      <c r="C57" s="1">
        <v>16</v>
      </c>
      <c r="D57" s="3">
        <v>2.1367533734444602E-3</v>
      </c>
      <c r="E57" s="23"/>
      <c r="F57" s="23"/>
    </row>
    <row r="58" spans="1:6" x14ac:dyDescent="0.3">
      <c r="A58" s="22"/>
      <c r="B58" s="22"/>
      <c r="C58" s="1">
        <v>17</v>
      </c>
      <c r="D58" s="3">
        <v>2.2416139375018599E-3</v>
      </c>
      <c r="E58" s="23"/>
      <c r="F58" s="23"/>
    </row>
    <row r="59" spans="1:6" x14ac:dyDescent="0.3">
      <c r="A59" s="22"/>
      <c r="B59" s="22"/>
      <c r="C59" s="1">
        <v>18</v>
      </c>
      <c r="D59" s="3">
        <v>3.14845189446259E-3</v>
      </c>
      <c r="E59" s="23"/>
      <c r="F59" s="23"/>
    </row>
    <row r="60" spans="1:6" x14ac:dyDescent="0.3">
      <c r="A60" s="22"/>
      <c r="B60" s="22"/>
      <c r="C60" s="1">
        <v>19</v>
      </c>
      <c r="D60" s="3">
        <v>2.4563851126431602E-3</v>
      </c>
      <c r="E60" s="23"/>
      <c r="F60" s="23"/>
    </row>
    <row r="61" spans="1:6" x14ac:dyDescent="0.3">
      <c r="A61" s="22"/>
      <c r="B61" s="22"/>
      <c r="C61" s="1">
        <v>20</v>
      </c>
      <c r="D61" s="3">
        <v>2.96935083178834E-3</v>
      </c>
      <c r="E61" s="23"/>
      <c r="F61" s="23"/>
    </row>
    <row r="62" spans="1:6" x14ac:dyDescent="0.3">
      <c r="A62" s="22"/>
      <c r="B62" s="22"/>
      <c r="C62" s="1">
        <v>21</v>
      </c>
      <c r="D62" s="3">
        <v>2.4671095088792598E-3</v>
      </c>
      <c r="E62" s="23"/>
      <c r="F62" s="23"/>
    </row>
    <row r="63" spans="1:6" x14ac:dyDescent="0.3">
      <c r="A63" s="22"/>
      <c r="B63" s="22"/>
      <c r="C63" s="1">
        <v>22</v>
      </c>
      <c r="D63" s="3">
        <v>2.80330880428523E-3</v>
      </c>
      <c r="E63" s="23"/>
      <c r="F63" s="23"/>
    </row>
    <row r="64" spans="1:6" x14ac:dyDescent="0.3">
      <c r="A64" s="22" t="s">
        <v>7</v>
      </c>
      <c r="B64" s="22" t="s">
        <v>21</v>
      </c>
      <c r="C64" s="1">
        <v>1</v>
      </c>
      <c r="D64" s="3">
        <v>1.3327355283255899E-3</v>
      </c>
      <c r="E64" s="23">
        <f>AVERAGE(D64:D83)</f>
        <v>2.3451028670594984E-3</v>
      </c>
      <c r="F64" s="18">
        <f>AVERAGE(D64:D70,D72:D74)</f>
        <v>2.1274082877858294E-3</v>
      </c>
    </row>
    <row r="65" spans="1:6" x14ac:dyDescent="0.3">
      <c r="A65" s="22"/>
      <c r="B65" s="22"/>
      <c r="C65" s="1">
        <v>2</v>
      </c>
      <c r="D65" s="3">
        <v>2.97226180345668E-3</v>
      </c>
      <c r="E65" s="23"/>
      <c r="F65" s="19"/>
    </row>
    <row r="66" spans="1:6" x14ac:dyDescent="0.3">
      <c r="A66" s="22"/>
      <c r="B66" s="22"/>
      <c r="C66" s="1">
        <v>3</v>
      </c>
      <c r="D66" s="3">
        <v>1.4883062419441899E-3</v>
      </c>
      <c r="E66" s="23"/>
      <c r="F66" s="19"/>
    </row>
    <row r="67" spans="1:6" x14ac:dyDescent="0.3">
      <c r="A67" s="22"/>
      <c r="B67" s="22"/>
      <c r="C67" s="1">
        <v>4</v>
      </c>
      <c r="D67" s="3">
        <v>2.4976952886969798E-3</v>
      </c>
      <c r="E67" s="23"/>
      <c r="F67" s="19"/>
    </row>
    <row r="68" spans="1:6" x14ac:dyDescent="0.3">
      <c r="A68" s="22"/>
      <c r="B68" s="22"/>
      <c r="C68" s="1">
        <v>5</v>
      </c>
      <c r="D68" s="3">
        <v>2.15939238998756E-3</v>
      </c>
      <c r="E68" s="23"/>
      <c r="F68" s="19"/>
    </row>
    <row r="69" spans="1:6" x14ac:dyDescent="0.3">
      <c r="A69" s="22"/>
      <c r="B69" s="22"/>
      <c r="C69" s="1">
        <v>6</v>
      </c>
      <c r="D69" s="3">
        <v>7.5314972685463501E-4</v>
      </c>
      <c r="E69" s="23"/>
      <c r="F69" s="19"/>
    </row>
    <row r="70" spans="1:6" x14ac:dyDescent="0.3">
      <c r="A70" s="22"/>
      <c r="B70" s="22"/>
      <c r="C70" s="1">
        <v>7</v>
      </c>
      <c r="D70" s="3">
        <v>1.7693848107372E-3</v>
      </c>
      <c r="E70" s="23"/>
      <c r="F70" s="19"/>
    </row>
    <row r="71" spans="1:6" x14ac:dyDescent="0.3">
      <c r="A71" s="22"/>
      <c r="B71" s="22"/>
      <c r="C71" s="1">
        <v>8</v>
      </c>
      <c r="D71" s="3">
        <v>4.5220486597961898E-3</v>
      </c>
      <c r="E71" s="23"/>
      <c r="F71" s="19"/>
    </row>
    <row r="72" spans="1:6" x14ac:dyDescent="0.3">
      <c r="A72" s="22"/>
      <c r="B72" s="22"/>
      <c r="C72" s="1">
        <v>9</v>
      </c>
      <c r="D72" s="3">
        <v>2.6635633255814701E-3</v>
      </c>
      <c r="E72" s="23"/>
      <c r="F72" s="19"/>
    </row>
    <row r="73" spans="1:6" x14ac:dyDescent="0.3">
      <c r="A73" s="22"/>
      <c r="B73" s="22"/>
      <c r="C73" s="1">
        <v>10</v>
      </c>
      <c r="D73" s="3">
        <v>1.76786021264703E-3</v>
      </c>
      <c r="E73" s="23"/>
      <c r="F73" s="19"/>
    </row>
    <row r="74" spans="1:6" x14ac:dyDescent="0.3">
      <c r="A74" s="22"/>
      <c r="B74" s="22"/>
      <c r="C74" s="1">
        <v>11</v>
      </c>
      <c r="D74" s="3">
        <v>3.86973354962696E-3</v>
      </c>
      <c r="E74" s="23"/>
      <c r="F74" s="19"/>
    </row>
    <row r="75" spans="1:6" x14ac:dyDescent="0.3">
      <c r="A75" s="22"/>
      <c r="B75" s="22"/>
      <c r="C75" s="1">
        <v>12</v>
      </c>
      <c r="D75" s="3"/>
      <c r="E75" s="23"/>
      <c r="F75" s="19"/>
    </row>
    <row r="76" spans="1:6" x14ac:dyDescent="0.3">
      <c r="A76" s="22"/>
      <c r="B76" s="22"/>
      <c r="C76" s="1">
        <v>13</v>
      </c>
      <c r="D76" s="3"/>
      <c r="E76" s="23"/>
      <c r="F76" s="19"/>
    </row>
    <row r="77" spans="1:6" x14ac:dyDescent="0.3">
      <c r="A77" s="22"/>
      <c r="B77" s="22"/>
      <c r="C77" s="1">
        <v>14</v>
      </c>
      <c r="D77" s="3"/>
      <c r="E77" s="23"/>
      <c r="F77" s="19"/>
    </row>
    <row r="78" spans="1:6" x14ac:dyDescent="0.3">
      <c r="A78" s="22"/>
      <c r="B78" s="22"/>
      <c r="C78" s="1">
        <v>15</v>
      </c>
      <c r="D78" s="3"/>
      <c r="E78" s="23"/>
      <c r="F78" s="19"/>
    </row>
    <row r="79" spans="1:6" x14ac:dyDescent="0.3">
      <c r="A79" s="22"/>
      <c r="B79" s="22"/>
      <c r="C79" s="1">
        <v>16</v>
      </c>
      <c r="D79" s="3"/>
      <c r="E79" s="23"/>
      <c r="F79" s="19"/>
    </row>
    <row r="80" spans="1:6" x14ac:dyDescent="0.3">
      <c r="A80" s="22"/>
      <c r="B80" s="22"/>
      <c r="C80" s="1">
        <v>17</v>
      </c>
      <c r="D80" s="3"/>
      <c r="E80" s="23"/>
      <c r="F80" s="19"/>
    </row>
    <row r="81" spans="1:6" x14ac:dyDescent="0.3">
      <c r="A81" s="22"/>
      <c r="B81" s="22"/>
      <c r="C81" s="1">
        <v>18</v>
      </c>
      <c r="D81" s="3"/>
      <c r="E81" s="23"/>
      <c r="F81" s="19"/>
    </row>
    <row r="82" spans="1:6" x14ac:dyDescent="0.3">
      <c r="A82" s="22"/>
      <c r="B82" s="22"/>
      <c r="C82" s="1">
        <v>19</v>
      </c>
      <c r="D82" s="3"/>
      <c r="E82" s="23"/>
      <c r="F82" s="19"/>
    </row>
    <row r="83" spans="1:6" x14ac:dyDescent="0.3">
      <c r="A83" s="22"/>
      <c r="B83" s="22"/>
      <c r="C83" s="1">
        <v>20</v>
      </c>
      <c r="D83" s="3"/>
      <c r="E83" s="23"/>
      <c r="F83" s="20"/>
    </row>
  </sheetData>
  <mergeCells count="16">
    <mergeCell ref="F2:F21"/>
    <mergeCell ref="F22:F41"/>
    <mergeCell ref="F42:F63"/>
    <mergeCell ref="F64:F83"/>
    <mergeCell ref="A2:A21"/>
    <mergeCell ref="B2:B21"/>
    <mergeCell ref="E2:E21"/>
    <mergeCell ref="A22:A41"/>
    <mergeCell ref="B22:B41"/>
    <mergeCell ref="E22:E41"/>
    <mergeCell ref="A42:A63"/>
    <mergeCell ref="B42:B63"/>
    <mergeCell ref="E42:E63"/>
    <mergeCell ref="A64:A83"/>
    <mergeCell ref="B64:B83"/>
    <mergeCell ref="E64:E83"/>
  </mergeCells>
  <conditionalFormatting sqref="D2:D21">
    <cfRule type="top10" dxfId="19" priority="10" rank="10"/>
  </conditionalFormatting>
  <conditionalFormatting sqref="D22:D41">
    <cfRule type="top10" dxfId="18" priority="9" rank="10"/>
  </conditionalFormatting>
  <conditionalFormatting sqref="D64:D83">
    <cfRule type="top10" dxfId="17" priority="7" bottom="1" rank="10"/>
  </conditionalFormatting>
  <conditionalFormatting sqref="F2">
    <cfRule type="top10" dxfId="16" priority="6" rank="10"/>
  </conditionalFormatting>
  <conditionalFormatting sqref="F22">
    <cfRule type="top10" dxfId="15" priority="5" rank="10"/>
  </conditionalFormatting>
  <conditionalFormatting sqref="F42:F63">
    <cfRule type="top10" dxfId="14" priority="4" bottom="1" rank="10"/>
  </conditionalFormatting>
  <conditionalFormatting sqref="F64">
    <cfRule type="top10" dxfId="13" priority="3" bottom="1" rank="10"/>
  </conditionalFormatting>
  <conditionalFormatting sqref="D42:D63">
    <cfRule type="top10" dxfId="12" priority="1" bottom="1" rank="10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073C-3256-4ACB-AEB2-32BAE33D808A}">
  <dimension ref="A1:G81"/>
  <sheetViews>
    <sheetView topLeftCell="A2" zoomScale="139" zoomScaleNormal="139" workbookViewId="0">
      <selection activeCell="D4" sqref="D4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7</v>
      </c>
      <c r="B2" s="22" t="s">
        <v>9</v>
      </c>
      <c r="C2" s="1">
        <v>1</v>
      </c>
      <c r="D2" s="3">
        <v>3.0401932235441099E-3</v>
      </c>
      <c r="E2" s="23">
        <f>AVERAGE(D2:D21)</f>
        <v>3.0380547293692235E-3</v>
      </c>
      <c r="F2" s="23">
        <f>AVERAGE(D2:D4,D6,D8:D11,D15:D16)</f>
        <v>3.0564204956261632E-3</v>
      </c>
    </row>
    <row r="3" spans="1:6" x14ac:dyDescent="0.3">
      <c r="A3" s="22"/>
      <c r="B3" s="22"/>
      <c r="C3" s="1">
        <v>2</v>
      </c>
      <c r="D3" s="3">
        <v>3.0331384444736401E-3</v>
      </c>
      <c r="E3" s="23"/>
      <c r="F3" s="23"/>
    </row>
    <row r="4" spans="1:6" x14ac:dyDescent="0.3">
      <c r="A4" s="22"/>
      <c r="B4" s="22"/>
      <c r="C4" s="1">
        <v>3</v>
      </c>
      <c r="D4" s="13">
        <v>3.1182764735492199E-3</v>
      </c>
      <c r="E4" s="23"/>
      <c r="F4" s="23"/>
    </row>
    <row r="5" spans="1:6" x14ac:dyDescent="0.3">
      <c r="A5" s="22"/>
      <c r="B5" s="22"/>
      <c r="C5" s="1">
        <v>4</v>
      </c>
      <c r="D5" s="3">
        <v>3.0154031793589E-3</v>
      </c>
      <c r="E5" s="23"/>
      <c r="F5" s="23"/>
    </row>
    <row r="6" spans="1:6" x14ac:dyDescent="0.3">
      <c r="A6" s="22"/>
      <c r="B6" s="22"/>
      <c r="C6" s="1">
        <v>5</v>
      </c>
      <c r="D6" s="3">
        <v>3.0645263646368699E-3</v>
      </c>
      <c r="E6" s="23"/>
      <c r="F6" s="23"/>
    </row>
    <row r="7" spans="1:6" x14ac:dyDescent="0.3">
      <c r="A7" s="22"/>
      <c r="B7" s="22"/>
      <c r="C7" s="1">
        <v>6</v>
      </c>
      <c r="D7" s="3">
        <v>3.0189844430268402E-3</v>
      </c>
      <c r="E7" s="23"/>
      <c r="F7" s="23"/>
    </row>
    <row r="8" spans="1:6" x14ac:dyDescent="0.3">
      <c r="A8" s="22"/>
      <c r="B8" s="22"/>
      <c r="C8" s="1">
        <v>7</v>
      </c>
      <c r="D8" s="3">
        <v>3.0527009145820002E-3</v>
      </c>
      <c r="E8" s="23"/>
      <c r="F8" s="23"/>
    </row>
    <row r="9" spans="1:6" x14ac:dyDescent="0.3">
      <c r="A9" s="22"/>
      <c r="B9" s="22"/>
      <c r="C9" s="1">
        <v>8</v>
      </c>
      <c r="D9" s="3">
        <v>3.0699752859798999E-3</v>
      </c>
      <c r="E9" s="23"/>
      <c r="F9" s="23"/>
    </row>
    <row r="10" spans="1:6" x14ac:dyDescent="0.3">
      <c r="A10" s="22"/>
      <c r="B10" s="22"/>
      <c r="C10" s="1">
        <v>9</v>
      </c>
      <c r="D10" s="3">
        <v>3.0743395526040499E-3</v>
      </c>
      <c r="E10" s="23"/>
      <c r="F10" s="23"/>
    </row>
    <row r="11" spans="1:6" x14ac:dyDescent="0.3">
      <c r="A11" s="22"/>
      <c r="B11" s="22"/>
      <c r="C11" s="1">
        <v>10</v>
      </c>
      <c r="D11" s="3">
        <v>3.0387621275461199E-3</v>
      </c>
      <c r="E11" s="23"/>
      <c r="F11" s="23"/>
    </row>
    <row r="12" spans="1:6" x14ac:dyDescent="0.3">
      <c r="A12" s="22"/>
      <c r="B12" s="22"/>
      <c r="C12" s="1">
        <v>11</v>
      </c>
      <c r="D12" s="3">
        <v>2.9463407000412901E-3</v>
      </c>
      <c r="E12" s="23"/>
      <c r="F12" s="23"/>
    </row>
    <row r="13" spans="1:6" x14ac:dyDescent="0.3">
      <c r="A13" s="22"/>
      <c r="B13" s="22"/>
      <c r="C13" s="1">
        <v>12</v>
      </c>
      <c r="D13" s="3">
        <v>3.00094837317991E-3</v>
      </c>
      <c r="E13" s="23"/>
      <c r="F13" s="23"/>
    </row>
    <row r="14" spans="1:6" x14ac:dyDescent="0.3">
      <c r="A14" s="22"/>
      <c r="B14" s="22"/>
      <c r="C14" s="1">
        <v>13</v>
      </c>
      <c r="D14" s="3">
        <v>3.0249392886697898E-3</v>
      </c>
      <c r="E14" s="23"/>
      <c r="F14" s="23"/>
    </row>
    <row r="15" spans="1:6" x14ac:dyDescent="0.3">
      <c r="A15" s="22"/>
      <c r="B15" s="22"/>
      <c r="C15" s="1">
        <v>14</v>
      </c>
      <c r="D15" s="3">
        <v>3.02556291647119E-3</v>
      </c>
      <c r="E15" s="23"/>
      <c r="F15" s="23"/>
    </row>
    <row r="16" spans="1:6" x14ac:dyDescent="0.3">
      <c r="A16" s="22"/>
      <c r="B16" s="22"/>
      <c r="C16" s="1">
        <v>15</v>
      </c>
      <c r="D16" s="3">
        <v>3.0467296528745298E-3</v>
      </c>
      <c r="E16" s="23"/>
      <c r="F16" s="23"/>
    </row>
    <row r="17" spans="1:6" x14ac:dyDescent="0.3">
      <c r="A17" s="22"/>
      <c r="B17" s="22"/>
      <c r="C17" s="1">
        <v>16</v>
      </c>
      <c r="D17" s="3"/>
      <c r="E17" s="23"/>
      <c r="F17" s="23"/>
    </row>
    <row r="18" spans="1:6" x14ac:dyDescent="0.3">
      <c r="A18" s="22"/>
      <c r="B18" s="22"/>
      <c r="C18" s="1">
        <v>17</v>
      </c>
      <c r="D18" s="3"/>
      <c r="E18" s="23"/>
      <c r="F18" s="23"/>
    </row>
    <row r="19" spans="1:6" x14ac:dyDescent="0.3">
      <c r="A19" s="22"/>
      <c r="B19" s="22"/>
      <c r="C19" s="1">
        <v>18</v>
      </c>
      <c r="D19" s="3"/>
      <c r="E19" s="23"/>
      <c r="F19" s="23"/>
    </row>
    <row r="20" spans="1:6" x14ac:dyDescent="0.3">
      <c r="A20" s="22"/>
      <c r="B20" s="22"/>
      <c r="C20" s="1">
        <v>19</v>
      </c>
      <c r="D20" s="3"/>
      <c r="E20" s="23"/>
      <c r="F20" s="23"/>
    </row>
    <row r="21" spans="1:6" x14ac:dyDescent="0.3">
      <c r="A21" s="22"/>
      <c r="B21" s="22"/>
      <c r="C21" s="1">
        <v>20</v>
      </c>
      <c r="D21" s="3"/>
      <c r="E21" s="23"/>
      <c r="F21" s="23"/>
    </row>
    <row r="22" spans="1:6" x14ac:dyDescent="0.3">
      <c r="A22" s="22" t="s">
        <v>7</v>
      </c>
      <c r="B22" s="22" t="s">
        <v>10</v>
      </c>
      <c r="C22" s="1">
        <v>1</v>
      </c>
      <c r="D22" s="3">
        <v>2.56045791222035E-3</v>
      </c>
      <c r="E22" s="23">
        <f>AVERAGE(D22:D41)</f>
        <v>2.5566700516496286E-3</v>
      </c>
      <c r="F22" s="23">
        <f>AVERAGE(D22:D28,D31,D34:D35)</f>
        <v>2.6585115746582321E-3</v>
      </c>
    </row>
    <row r="23" spans="1:6" x14ac:dyDescent="0.3">
      <c r="A23" s="22"/>
      <c r="B23" s="22"/>
      <c r="C23" s="1">
        <v>2</v>
      </c>
      <c r="D23" s="3">
        <v>2.4897869931685599E-3</v>
      </c>
      <c r="E23" s="23"/>
      <c r="F23" s="23"/>
    </row>
    <row r="24" spans="1:6" x14ac:dyDescent="0.3">
      <c r="A24" s="22"/>
      <c r="B24" s="22"/>
      <c r="C24" s="1">
        <v>3</v>
      </c>
      <c r="D24" s="3">
        <v>2.56563837271321E-3</v>
      </c>
      <c r="E24" s="23"/>
      <c r="F24" s="23"/>
    </row>
    <row r="25" spans="1:6" x14ac:dyDescent="0.3">
      <c r="A25" s="22"/>
      <c r="B25" s="22"/>
      <c r="C25" s="1">
        <v>4</v>
      </c>
      <c r="D25" s="3">
        <v>2.8058455741671001E-3</v>
      </c>
      <c r="E25" s="23"/>
      <c r="F25" s="23"/>
    </row>
    <row r="26" spans="1:6" x14ac:dyDescent="0.3">
      <c r="A26" s="22"/>
      <c r="B26" s="22"/>
      <c r="C26" s="1">
        <v>5</v>
      </c>
      <c r="D26" s="3">
        <v>2.5955966653407E-3</v>
      </c>
      <c r="E26" s="23"/>
      <c r="F26" s="23"/>
    </row>
    <row r="27" spans="1:6" x14ac:dyDescent="0.3">
      <c r="A27" s="22"/>
      <c r="B27" s="22"/>
      <c r="C27" s="1">
        <v>6</v>
      </c>
      <c r="D27" s="3">
        <v>2.6488434196267801E-3</v>
      </c>
      <c r="E27" s="23"/>
      <c r="F27" s="23"/>
    </row>
    <row r="28" spans="1:6" x14ac:dyDescent="0.3">
      <c r="A28" s="22"/>
      <c r="B28" s="22"/>
      <c r="C28" s="1">
        <v>7</v>
      </c>
      <c r="D28" s="13">
        <v>2.9603660335354798E-3</v>
      </c>
      <c r="E28" s="23"/>
      <c r="F28" s="23"/>
    </row>
    <row r="29" spans="1:6" x14ac:dyDescent="0.3">
      <c r="A29" s="22"/>
      <c r="B29" s="22"/>
      <c r="C29" s="1">
        <v>8</v>
      </c>
      <c r="D29" s="3">
        <v>2.4719477074411599E-3</v>
      </c>
      <c r="E29" s="23"/>
      <c r="F29" s="23"/>
    </row>
    <row r="30" spans="1:6" x14ac:dyDescent="0.3">
      <c r="A30" s="22"/>
      <c r="B30" s="22"/>
      <c r="C30" s="1">
        <v>9</v>
      </c>
      <c r="D30" s="3">
        <v>2.3577404238525799E-3</v>
      </c>
      <c r="E30" s="23"/>
      <c r="F30" s="23"/>
    </row>
    <row r="31" spans="1:6" x14ac:dyDescent="0.3">
      <c r="A31" s="22"/>
      <c r="B31" s="22"/>
      <c r="C31" s="1">
        <v>10</v>
      </c>
      <c r="D31" s="3">
        <v>2.5214018330325799E-3</v>
      </c>
      <c r="E31" s="23"/>
      <c r="F31" s="23"/>
    </row>
    <row r="32" spans="1:6" x14ac:dyDescent="0.3">
      <c r="A32" s="22"/>
      <c r="B32" s="22"/>
      <c r="C32" s="1">
        <v>11</v>
      </c>
      <c r="D32" s="3">
        <v>2.1215953440929698E-3</v>
      </c>
      <c r="E32" s="23"/>
      <c r="F32" s="23"/>
    </row>
    <row r="33" spans="1:6" x14ac:dyDescent="0.3">
      <c r="A33" s="22"/>
      <c r="B33" s="22"/>
      <c r="C33" s="1">
        <v>12</v>
      </c>
      <c r="D33" s="3">
        <v>2.4312839018629301E-3</v>
      </c>
      <c r="E33" s="23"/>
      <c r="F33" s="23"/>
    </row>
    <row r="34" spans="1:6" x14ac:dyDescent="0.3">
      <c r="A34" s="22"/>
      <c r="B34" s="22"/>
      <c r="C34" s="1">
        <v>13</v>
      </c>
      <c r="D34" s="3">
        <v>2.5250084896155998E-3</v>
      </c>
      <c r="E34" s="23"/>
      <c r="F34" s="23"/>
    </row>
    <row r="35" spans="1:6" x14ac:dyDescent="0.3">
      <c r="A35" s="22"/>
      <c r="B35" s="22"/>
      <c r="C35" s="1">
        <v>14</v>
      </c>
      <c r="D35" s="3">
        <v>2.9121704531619602E-3</v>
      </c>
      <c r="E35" s="23"/>
      <c r="F35" s="23"/>
    </row>
    <row r="36" spans="1:6" x14ac:dyDescent="0.3">
      <c r="A36" s="22"/>
      <c r="B36" s="22"/>
      <c r="C36" s="1">
        <v>15</v>
      </c>
      <c r="D36" s="3">
        <v>2.38236765091248E-3</v>
      </c>
      <c r="E36" s="23"/>
      <c r="F36" s="23"/>
    </row>
    <row r="37" spans="1:6" x14ac:dyDescent="0.3">
      <c r="A37" s="22"/>
      <c r="B37" s="22"/>
      <c r="C37" s="1">
        <v>16</v>
      </c>
      <c r="D37" s="3"/>
      <c r="E37" s="23"/>
      <c r="F37" s="23"/>
    </row>
    <row r="38" spans="1:6" x14ac:dyDescent="0.3">
      <c r="A38" s="22"/>
      <c r="B38" s="22"/>
      <c r="C38" s="1">
        <v>17</v>
      </c>
      <c r="D38" s="3"/>
      <c r="E38" s="23"/>
      <c r="F38" s="23"/>
    </row>
    <row r="39" spans="1:6" x14ac:dyDescent="0.3">
      <c r="A39" s="22"/>
      <c r="B39" s="22"/>
      <c r="C39" s="1">
        <v>18</v>
      </c>
      <c r="D39" s="3"/>
      <c r="E39" s="23"/>
      <c r="F39" s="23"/>
    </row>
    <row r="40" spans="1:6" x14ac:dyDescent="0.3">
      <c r="A40" s="22"/>
      <c r="B40" s="22"/>
      <c r="C40" s="1">
        <v>19</v>
      </c>
      <c r="D40" s="3"/>
      <c r="E40" s="23"/>
      <c r="F40" s="23"/>
    </row>
    <row r="41" spans="1:6" x14ac:dyDescent="0.3">
      <c r="A41" s="22"/>
      <c r="B41" s="22"/>
      <c r="C41" s="1">
        <v>20</v>
      </c>
      <c r="D41" s="3"/>
      <c r="E41" s="23"/>
      <c r="F41" s="23"/>
    </row>
    <row r="42" spans="1:6" x14ac:dyDescent="0.3">
      <c r="A42" s="22" t="s">
        <v>7</v>
      </c>
      <c r="B42" s="22" t="s">
        <v>20</v>
      </c>
      <c r="C42" s="1">
        <v>1</v>
      </c>
      <c r="D42" s="3">
        <v>2.0622498441260802E-3</v>
      </c>
      <c r="E42" s="23">
        <f>AVERAGE(D42:D61)</f>
        <v>2.3188578817489917E-3</v>
      </c>
      <c r="F42" s="23">
        <f>AVERAGE(D42:D51)</f>
        <v>2.3188578817489917E-3</v>
      </c>
    </row>
    <row r="43" spans="1:6" x14ac:dyDescent="0.3">
      <c r="A43" s="22"/>
      <c r="B43" s="22"/>
      <c r="C43" s="1">
        <v>2</v>
      </c>
      <c r="D43" s="3">
        <v>2.3794685929811499E-3</v>
      </c>
      <c r="E43" s="23"/>
      <c r="F43" s="23"/>
    </row>
    <row r="44" spans="1:6" x14ac:dyDescent="0.3">
      <c r="A44" s="22"/>
      <c r="B44" s="22"/>
      <c r="C44" s="1">
        <v>3</v>
      </c>
      <c r="D44" s="3">
        <v>2.2977682884525799E-3</v>
      </c>
      <c r="E44" s="23"/>
      <c r="F44" s="23"/>
    </row>
    <row r="45" spans="1:6" x14ac:dyDescent="0.3">
      <c r="A45" s="22"/>
      <c r="B45" s="22"/>
      <c r="C45" s="1">
        <v>4</v>
      </c>
      <c r="D45" s="3">
        <v>2.4343621971597198E-3</v>
      </c>
      <c r="E45" s="23"/>
      <c r="F45" s="23"/>
    </row>
    <row r="46" spans="1:6" x14ac:dyDescent="0.3">
      <c r="A46" s="22"/>
      <c r="B46" s="22"/>
      <c r="C46" s="1">
        <v>5</v>
      </c>
      <c r="D46" s="3">
        <v>2.1108189144734301E-3</v>
      </c>
      <c r="E46" s="23"/>
      <c r="F46" s="23"/>
    </row>
    <row r="47" spans="1:6" x14ac:dyDescent="0.3">
      <c r="A47" s="22"/>
      <c r="B47" s="22"/>
      <c r="C47" s="1">
        <v>6</v>
      </c>
      <c r="D47" s="3">
        <v>2.3621231197317998E-3</v>
      </c>
      <c r="E47" s="23"/>
      <c r="F47" s="23"/>
    </row>
    <row r="48" spans="1:6" x14ac:dyDescent="0.3">
      <c r="A48" s="22"/>
      <c r="B48" s="22"/>
      <c r="C48" s="1">
        <v>7</v>
      </c>
      <c r="D48" s="3">
        <v>2.4698851227879198E-3</v>
      </c>
      <c r="E48" s="23"/>
      <c r="F48" s="23"/>
    </row>
    <row r="49" spans="1:6" x14ac:dyDescent="0.3">
      <c r="A49" s="22"/>
      <c r="B49" s="22"/>
      <c r="C49" s="1">
        <v>8</v>
      </c>
      <c r="D49" s="3">
        <v>2.47827370439321E-3</v>
      </c>
      <c r="E49" s="23"/>
      <c r="F49" s="23"/>
    </row>
    <row r="50" spans="1:6" x14ac:dyDescent="0.3">
      <c r="A50" s="22"/>
      <c r="B50" s="22"/>
      <c r="C50" s="1">
        <v>9</v>
      </c>
      <c r="D50" s="3">
        <v>2.3045136598095501E-3</v>
      </c>
      <c r="E50" s="23"/>
      <c r="F50" s="23"/>
    </row>
    <row r="51" spans="1:6" x14ac:dyDescent="0.3">
      <c r="A51" s="22"/>
      <c r="B51" s="22"/>
      <c r="C51" s="1">
        <v>10</v>
      </c>
      <c r="D51" s="3">
        <v>2.2891153735744799E-3</v>
      </c>
      <c r="E51" s="23"/>
      <c r="F51" s="23"/>
    </row>
    <row r="52" spans="1:6" x14ac:dyDescent="0.3">
      <c r="A52" s="22"/>
      <c r="B52" s="22"/>
      <c r="C52" s="1">
        <v>11</v>
      </c>
      <c r="D52" s="3"/>
      <c r="E52" s="23"/>
      <c r="F52" s="23"/>
    </row>
    <row r="53" spans="1:6" x14ac:dyDescent="0.3">
      <c r="A53" s="22"/>
      <c r="B53" s="22"/>
      <c r="C53" s="1">
        <v>12</v>
      </c>
      <c r="D53" s="3"/>
      <c r="E53" s="23"/>
      <c r="F53" s="23"/>
    </row>
    <row r="54" spans="1:6" x14ac:dyDescent="0.3">
      <c r="A54" s="22"/>
      <c r="B54" s="22"/>
      <c r="C54" s="1">
        <v>13</v>
      </c>
      <c r="D54" s="3"/>
      <c r="E54" s="23"/>
      <c r="F54" s="23"/>
    </row>
    <row r="55" spans="1:6" x14ac:dyDescent="0.3">
      <c r="A55" s="22"/>
      <c r="B55" s="22"/>
      <c r="C55" s="1">
        <v>14</v>
      </c>
      <c r="D55" s="3"/>
      <c r="E55" s="23"/>
      <c r="F55" s="23"/>
    </row>
    <row r="56" spans="1:6" x14ac:dyDescent="0.3">
      <c r="A56" s="22"/>
      <c r="B56" s="22"/>
      <c r="C56" s="1">
        <v>15</v>
      </c>
      <c r="D56" s="3"/>
      <c r="E56" s="23"/>
      <c r="F56" s="23"/>
    </row>
    <row r="57" spans="1:6" x14ac:dyDescent="0.3">
      <c r="A57" s="22"/>
      <c r="B57" s="22"/>
      <c r="C57" s="1">
        <v>16</v>
      </c>
      <c r="D57" s="3"/>
      <c r="E57" s="23"/>
      <c r="F57" s="23"/>
    </row>
    <row r="58" spans="1:6" x14ac:dyDescent="0.3">
      <c r="A58" s="22"/>
      <c r="B58" s="22"/>
      <c r="C58" s="1">
        <v>17</v>
      </c>
      <c r="D58" s="3"/>
      <c r="E58" s="23"/>
      <c r="F58" s="23"/>
    </row>
    <row r="59" spans="1:6" x14ac:dyDescent="0.3">
      <c r="A59" s="22"/>
      <c r="B59" s="22"/>
      <c r="C59" s="1">
        <v>18</v>
      </c>
      <c r="D59" s="3"/>
      <c r="E59" s="23"/>
      <c r="F59" s="23"/>
    </row>
    <row r="60" spans="1:6" x14ac:dyDescent="0.3">
      <c r="A60" s="22"/>
      <c r="B60" s="22"/>
      <c r="C60" s="1">
        <v>19</v>
      </c>
      <c r="D60" s="3"/>
      <c r="E60" s="23"/>
      <c r="F60" s="23"/>
    </row>
    <row r="61" spans="1:6" x14ac:dyDescent="0.3">
      <c r="A61" s="22"/>
      <c r="B61" s="22"/>
      <c r="C61" s="1">
        <v>20</v>
      </c>
      <c r="D61" s="3"/>
      <c r="E61" s="23"/>
      <c r="F61" s="23"/>
    </row>
    <row r="62" spans="1:6" x14ac:dyDescent="0.3">
      <c r="A62" s="22" t="s">
        <v>7</v>
      </c>
      <c r="B62" s="22" t="s">
        <v>21</v>
      </c>
      <c r="C62" s="1">
        <v>1</v>
      </c>
      <c r="D62" s="3">
        <v>2.40624284469741E-3</v>
      </c>
      <c r="E62" s="23">
        <f>AVERAGE(D62:D81)</f>
        <v>2.8258236807703432E-3</v>
      </c>
      <c r="F62" s="23">
        <f>AVERAGE(D62:D63,D65:D69,D72,D78,D81)</f>
        <v>2.523717006745091E-3</v>
      </c>
    </row>
    <row r="63" spans="1:6" x14ac:dyDescent="0.3">
      <c r="A63" s="22"/>
      <c r="B63" s="22"/>
      <c r="C63" s="1">
        <v>2</v>
      </c>
      <c r="D63" s="3">
        <v>2.6630340728757999E-3</v>
      </c>
      <c r="E63" s="23"/>
      <c r="F63" s="23"/>
    </row>
    <row r="64" spans="1:6" x14ac:dyDescent="0.3">
      <c r="A64" s="22"/>
      <c r="B64" s="22"/>
      <c r="C64" s="1">
        <v>3</v>
      </c>
      <c r="D64" s="3">
        <v>3.1983295497875499E-3</v>
      </c>
      <c r="E64" s="23"/>
      <c r="F64" s="23"/>
    </row>
    <row r="65" spans="1:6" x14ac:dyDescent="0.3">
      <c r="A65" s="22"/>
      <c r="B65" s="22"/>
      <c r="C65" s="1">
        <v>4</v>
      </c>
      <c r="D65" s="3">
        <v>2.7626672876672701E-3</v>
      </c>
      <c r="E65" s="23"/>
      <c r="F65" s="23"/>
    </row>
    <row r="66" spans="1:6" x14ac:dyDescent="0.3">
      <c r="A66" s="22"/>
      <c r="B66" s="22"/>
      <c r="C66" s="1">
        <v>5</v>
      </c>
      <c r="D66" s="3">
        <v>2.7638149916049798E-3</v>
      </c>
      <c r="E66" s="23"/>
      <c r="F66" s="23"/>
    </row>
    <row r="67" spans="1:6" x14ac:dyDescent="0.3">
      <c r="A67" s="22"/>
      <c r="B67" s="22"/>
      <c r="C67" s="1">
        <v>6</v>
      </c>
      <c r="D67" s="3">
        <v>2.3583828748001199E-3</v>
      </c>
      <c r="E67" s="23"/>
      <c r="F67" s="23"/>
    </row>
    <row r="68" spans="1:6" x14ac:dyDescent="0.3">
      <c r="A68" s="22"/>
      <c r="B68" s="22"/>
      <c r="C68" s="1">
        <v>7</v>
      </c>
      <c r="D68" s="3">
        <v>2.6027344446575501E-3</v>
      </c>
      <c r="E68" s="23"/>
      <c r="F68" s="23"/>
    </row>
    <row r="69" spans="1:6" x14ac:dyDescent="0.3">
      <c r="A69" s="22"/>
      <c r="B69" s="22"/>
      <c r="C69" s="1">
        <v>8</v>
      </c>
      <c r="D69" s="3">
        <v>2.0609721425198001E-3</v>
      </c>
      <c r="E69" s="23"/>
      <c r="F69" s="23"/>
    </row>
    <row r="70" spans="1:6" x14ac:dyDescent="0.3">
      <c r="A70" s="22"/>
      <c r="B70" s="22"/>
      <c r="C70" s="1">
        <v>9</v>
      </c>
      <c r="D70" s="3">
        <v>3.18934603992996E-3</v>
      </c>
      <c r="E70" s="23"/>
      <c r="F70" s="23"/>
    </row>
    <row r="71" spans="1:6" x14ac:dyDescent="0.3">
      <c r="A71" s="22"/>
      <c r="B71" s="22"/>
      <c r="C71" s="1">
        <v>10</v>
      </c>
      <c r="D71" s="3">
        <v>3.2442072438110901E-3</v>
      </c>
      <c r="E71" s="23"/>
      <c r="F71" s="23"/>
    </row>
    <row r="72" spans="1:6" x14ac:dyDescent="0.3">
      <c r="A72" s="22"/>
      <c r="B72" s="22"/>
      <c r="C72" s="1">
        <v>11</v>
      </c>
      <c r="D72" s="3">
        <v>2.48040343496899E-3</v>
      </c>
      <c r="E72" s="23"/>
      <c r="F72" s="23"/>
    </row>
    <row r="73" spans="1:6" x14ac:dyDescent="0.3">
      <c r="A73" s="22"/>
      <c r="B73" s="22"/>
      <c r="C73" s="1">
        <v>12</v>
      </c>
      <c r="D73" s="3">
        <v>2.7913299180781898E-3</v>
      </c>
      <c r="E73" s="23"/>
      <c r="F73" s="23"/>
    </row>
    <row r="74" spans="1:6" x14ac:dyDescent="0.3">
      <c r="A74" s="22"/>
      <c r="B74" s="22"/>
      <c r="C74" s="1">
        <v>13</v>
      </c>
      <c r="D74" s="3">
        <v>3.40577257314579E-3</v>
      </c>
      <c r="E74" s="23"/>
      <c r="F74" s="23"/>
    </row>
    <row r="75" spans="1:6" x14ac:dyDescent="0.3">
      <c r="A75" s="22"/>
      <c r="B75" s="22"/>
      <c r="C75" s="1">
        <v>14</v>
      </c>
      <c r="D75" s="3">
        <v>3.0989486630917801E-3</v>
      </c>
      <c r="E75" s="23"/>
      <c r="F75" s="23"/>
    </row>
    <row r="76" spans="1:6" x14ac:dyDescent="0.3">
      <c r="A76" s="22"/>
      <c r="B76" s="22"/>
      <c r="C76" s="1">
        <v>15</v>
      </c>
      <c r="D76" s="3">
        <v>3.1364343529491799E-3</v>
      </c>
      <c r="E76" s="23"/>
      <c r="F76" s="23"/>
    </row>
    <row r="77" spans="1:6" x14ac:dyDescent="0.3">
      <c r="A77" s="22"/>
      <c r="B77" s="22"/>
      <c r="C77" s="1">
        <v>16</v>
      </c>
      <c r="D77" s="3">
        <v>2.8365746471773899E-3</v>
      </c>
      <c r="E77" s="23"/>
      <c r="F77" s="23"/>
    </row>
    <row r="78" spans="1:6" x14ac:dyDescent="0.3">
      <c r="A78" s="22"/>
      <c r="B78" s="22"/>
      <c r="C78" s="1">
        <v>17</v>
      </c>
      <c r="D78" s="3">
        <v>2.6447021119668998E-3</v>
      </c>
      <c r="E78" s="23"/>
      <c r="F78" s="23"/>
    </row>
    <row r="79" spans="1:6" x14ac:dyDescent="0.3">
      <c r="A79" s="22"/>
      <c r="B79" s="22"/>
      <c r="C79" s="1">
        <v>18</v>
      </c>
      <c r="D79" s="3">
        <v>3.0003463272912701E-3</v>
      </c>
      <c r="E79" s="23"/>
      <c r="F79" s="23"/>
    </row>
    <row r="80" spans="1:6" x14ac:dyDescent="0.3">
      <c r="A80" s="22"/>
      <c r="B80" s="22"/>
      <c r="C80" s="1">
        <v>19</v>
      </c>
      <c r="D80" s="3">
        <v>3.37801423269376E-3</v>
      </c>
      <c r="E80" s="23"/>
      <c r="F80" s="23"/>
    </row>
    <row r="81" spans="1:6" x14ac:dyDescent="0.3">
      <c r="A81" s="22"/>
      <c r="B81" s="22"/>
      <c r="C81" s="1">
        <v>20</v>
      </c>
      <c r="D81" s="3">
        <v>2.4942158616920898E-3</v>
      </c>
      <c r="E81" s="23"/>
      <c r="F81" s="23"/>
    </row>
  </sheetData>
  <mergeCells count="16">
    <mergeCell ref="F2:F21"/>
    <mergeCell ref="F22:F41"/>
    <mergeCell ref="F42:F61"/>
    <mergeCell ref="F62:F81"/>
    <mergeCell ref="A42:A61"/>
    <mergeCell ref="B42:B61"/>
    <mergeCell ref="E42:E61"/>
    <mergeCell ref="A62:A81"/>
    <mergeCell ref="B62:B81"/>
    <mergeCell ref="E62:E81"/>
    <mergeCell ref="A2:A21"/>
    <mergeCell ref="B2:B21"/>
    <mergeCell ref="E2:E21"/>
    <mergeCell ref="A22:A41"/>
    <mergeCell ref="B22:B41"/>
    <mergeCell ref="E22:E41"/>
  </mergeCells>
  <conditionalFormatting sqref="D2:D21">
    <cfRule type="top10" dxfId="11" priority="4" rank="10"/>
  </conditionalFormatting>
  <conditionalFormatting sqref="D22:D41">
    <cfRule type="top10" dxfId="10" priority="3" rank="10"/>
  </conditionalFormatting>
  <conditionalFormatting sqref="D42:D61">
    <cfRule type="top10" dxfId="9" priority="2" bottom="1" rank="10"/>
  </conditionalFormatting>
  <conditionalFormatting sqref="D62:D81">
    <cfRule type="top10" dxfId="8" priority="1" bottom="1" rank="10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D1F9-62CA-44DC-A5CE-8C5DA9DAF053}">
  <dimension ref="A1:G81"/>
  <sheetViews>
    <sheetView zoomScale="140" zoomScaleNormal="140" workbookViewId="0"/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2" t="s">
        <v>7</v>
      </c>
      <c r="B2" s="22" t="s">
        <v>9</v>
      </c>
      <c r="C2" s="1">
        <v>1</v>
      </c>
      <c r="D2" s="3">
        <v>3.0920022508217999E-3</v>
      </c>
      <c r="E2" s="23">
        <f>AVERAGE(D2:D21)</f>
        <v>3.1256884455689421E-3</v>
      </c>
      <c r="F2" s="18">
        <f>AVERAGE(D3:D5,D8:D9,D11,D16,D18:D20)</f>
        <v>3.1510713442285654E-3</v>
      </c>
    </row>
    <row r="3" spans="1:6" x14ac:dyDescent="0.3">
      <c r="A3" s="22"/>
      <c r="B3" s="22"/>
      <c r="C3" s="1">
        <v>2</v>
      </c>
      <c r="D3" s="3">
        <v>3.13315433431677E-3</v>
      </c>
      <c r="E3" s="23"/>
      <c r="F3" s="19"/>
    </row>
    <row r="4" spans="1:6" x14ac:dyDescent="0.3">
      <c r="A4" s="22"/>
      <c r="B4" s="22"/>
      <c r="C4" s="1">
        <v>3</v>
      </c>
      <c r="D4" s="3">
        <v>3.1411312925742102E-3</v>
      </c>
      <c r="E4" s="23"/>
      <c r="F4" s="19"/>
    </row>
    <row r="5" spans="1:6" x14ac:dyDescent="0.3">
      <c r="A5" s="22"/>
      <c r="B5" s="22"/>
      <c r="C5" s="1">
        <v>4</v>
      </c>
      <c r="D5" s="3">
        <v>3.1573542739626601E-3</v>
      </c>
      <c r="E5" s="23"/>
      <c r="F5" s="19"/>
    </row>
    <row r="6" spans="1:6" x14ac:dyDescent="0.3">
      <c r="A6" s="22"/>
      <c r="B6" s="22"/>
      <c r="C6" s="1">
        <v>5</v>
      </c>
      <c r="D6" s="3">
        <v>3.11461066896262E-3</v>
      </c>
      <c r="E6" s="23"/>
      <c r="F6" s="19"/>
    </row>
    <row r="7" spans="1:6" x14ac:dyDescent="0.3">
      <c r="A7" s="22"/>
      <c r="B7" s="22"/>
      <c r="C7" s="1">
        <v>6</v>
      </c>
      <c r="D7" s="3">
        <v>3.0755827580487001E-3</v>
      </c>
      <c r="E7" s="23"/>
      <c r="F7" s="19"/>
    </row>
    <row r="8" spans="1:6" x14ac:dyDescent="0.3">
      <c r="A8" s="22"/>
      <c r="B8" s="22"/>
      <c r="C8" s="1">
        <v>7</v>
      </c>
      <c r="D8" s="3">
        <v>3.1378100547576099E-3</v>
      </c>
      <c r="E8" s="23"/>
      <c r="F8" s="19"/>
    </row>
    <row r="9" spans="1:6" x14ac:dyDescent="0.3">
      <c r="A9" s="22"/>
      <c r="B9" s="22"/>
      <c r="C9" s="1">
        <v>8</v>
      </c>
      <c r="D9" s="3">
        <v>3.1360280163418002E-3</v>
      </c>
      <c r="E9" s="23"/>
      <c r="F9" s="19"/>
    </row>
    <row r="10" spans="1:6" x14ac:dyDescent="0.3">
      <c r="A10" s="22"/>
      <c r="B10" s="22"/>
      <c r="C10" s="1">
        <v>9</v>
      </c>
      <c r="D10" s="3">
        <v>3.0985918500267499E-3</v>
      </c>
      <c r="E10" s="23"/>
      <c r="F10" s="19"/>
    </row>
    <row r="11" spans="1:6" x14ac:dyDescent="0.3">
      <c r="A11" s="22"/>
      <c r="B11" s="22"/>
      <c r="C11" s="1">
        <v>10</v>
      </c>
      <c r="D11" s="3">
        <v>3.11555145173975E-3</v>
      </c>
      <c r="E11" s="23"/>
      <c r="F11" s="19"/>
    </row>
    <row r="12" spans="1:6" x14ac:dyDescent="0.3">
      <c r="A12" s="22"/>
      <c r="B12" s="22"/>
      <c r="C12" s="1">
        <v>11</v>
      </c>
      <c r="D12" s="3">
        <v>3.1007001009200601E-3</v>
      </c>
      <c r="E12" s="23"/>
      <c r="F12" s="19"/>
    </row>
    <row r="13" spans="1:6" x14ac:dyDescent="0.3">
      <c r="A13" s="22"/>
      <c r="B13" s="22"/>
      <c r="C13" s="1">
        <v>12</v>
      </c>
      <c r="D13" s="3">
        <v>3.0922012907448199E-3</v>
      </c>
      <c r="E13" s="23"/>
      <c r="F13" s="19"/>
    </row>
    <row r="14" spans="1:6" x14ac:dyDescent="0.3">
      <c r="A14" s="22"/>
      <c r="B14" s="22"/>
      <c r="C14" s="1">
        <v>13</v>
      </c>
      <c r="D14" s="3">
        <v>3.0977706333334002E-3</v>
      </c>
      <c r="E14" s="23"/>
      <c r="F14" s="19"/>
    </row>
    <row r="15" spans="1:6" x14ac:dyDescent="0.3">
      <c r="A15" s="22"/>
      <c r="B15" s="22"/>
      <c r="C15" s="1">
        <v>14</v>
      </c>
      <c r="D15" s="3">
        <v>3.1153368952903599E-3</v>
      </c>
      <c r="E15" s="23"/>
      <c r="F15" s="19"/>
    </row>
    <row r="16" spans="1:6" x14ac:dyDescent="0.3">
      <c r="A16" s="22"/>
      <c r="B16" s="22"/>
      <c r="C16" s="1">
        <v>15</v>
      </c>
      <c r="D16" s="3">
        <v>3.16554777312934E-3</v>
      </c>
      <c r="E16" s="23"/>
      <c r="F16" s="19"/>
    </row>
    <row r="17" spans="1:6" x14ac:dyDescent="0.3">
      <c r="A17" s="22"/>
      <c r="B17" s="22"/>
      <c r="C17" s="1">
        <v>16</v>
      </c>
      <c r="D17" s="3">
        <v>3.1022443794083499E-3</v>
      </c>
      <c r="E17" s="23"/>
      <c r="F17" s="19"/>
    </row>
    <row r="18" spans="1:6" x14ac:dyDescent="0.3">
      <c r="A18" s="22"/>
      <c r="B18" s="22"/>
      <c r="C18" s="1">
        <v>17</v>
      </c>
      <c r="D18" s="3">
        <v>3.1451697098806202E-3</v>
      </c>
      <c r="E18" s="23"/>
      <c r="F18" s="19"/>
    </row>
    <row r="19" spans="1:6" x14ac:dyDescent="0.3">
      <c r="A19" s="22"/>
      <c r="B19" s="22"/>
      <c r="C19" s="1">
        <v>18</v>
      </c>
      <c r="D19" s="3">
        <v>3.1900381402986898E-3</v>
      </c>
      <c r="E19" s="23"/>
      <c r="F19" s="19"/>
    </row>
    <row r="20" spans="1:6" x14ac:dyDescent="0.3">
      <c r="A20" s="22"/>
      <c r="B20" s="22"/>
      <c r="C20" s="1">
        <v>19</v>
      </c>
      <c r="D20" s="3">
        <v>3.18892839528421E-3</v>
      </c>
      <c r="E20" s="23"/>
      <c r="F20" s="19"/>
    </row>
    <row r="21" spans="1:6" x14ac:dyDescent="0.3">
      <c r="A21" s="22"/>
      <c r="B21" s="22"/>
      <c r="C21" s="1">
        <v>20</v>
      </c>
      <c r="D21" s="3">
        <v>3.1140146415363202E-3</v>
      </c>
      <c r="E21" s="23"/>
      <c r="F21" s="20"/>
    </row>
    <row r="22" spans="1:6" x14ac:dyDescent="0.3">
      <c r="A22" s="22" t="s">
        <v>7</v>
      </c>
      <c r="B22" s="22" t="s">
        <v>10</v>
      </c>
      <c r="C22" s="1">
        <v>1</v>
      </c>
      <c r="D22" s="3">
        <v>2.9792748738964201E-3</v>
      </c>
      <c r="E22" s="23">
        <f>AVERAGE(D22:D41)</f>
        <v>2.9680677649702742E-3</v>
      </c>
      <c r="F22" s="18">
        <f>AVERAGE(D22,D26,D28:D31,D35:D36,D38,D41)</f>
        <v>2.9908705412809941E-3</v>
      </c>
    </row>
    <row r="23" spans="1:6" x14ac:dyDescent="0.3">
      <c r="A23" s="22"/>
      <c r="B23" s="22"/>
      <c r="C23" s="1">
        <v>2</v>
      </c>
      <c r="D23" s="3">
        <v>2.9679755243615701E-3</v>
      </c>
      <c r="E23" s="23"/>
      <c r="F23" s="19"/>
    </row>
    <row r="24" spans="1:6" x14ac:dyDescent="0.3">
      <c r="A24" s="22"/>
      <c r="B24" s="22"/>
      <c r="C24" s="1">
        <v>3</v>
      </c>
      <c r="D24" s="3">
        <v>2.9504060931560801E-3</v>
      </c>
      <c r="E24" s="23"/>
      <c r="F24" s="19"/>
    </row>
    <row r="25" spans="1:6" x14ac:dyDescent="0.3">
      <c r="A25" s="22"/>
      <c r="B25" s="22"/>
      <c r="C25" s="1">
        <v>4</v>
      </c>
      <c r="D25" s="3">
        <v>2.9215257255345499E-3</v>
      </c>
      <c r="E25" s="23"/>
      <c r="F25" s="19"/>
    </row>
    <row r="26" spans="1:6" x14ac:dyDescent="0.3">
      <c r="A26" s="22"/>
      <c r="B26" s="22"/>
      <c r="C26" s="1">
        <v>5</v>
      </c>
      <c r="D26" s="3">
        <v>2.98513418775701E-3</v>
      </c>
      <c r="E26" s="23"/>
      <c r="F26" s="19"/>
    </row>
    <row r="27" spans="1:6" x14ac:dyDescent="0.3">
      <c r="A27" s="22"/>
      <c r="B27" s="22"/>
      <c r="C27" s="1">
        <v>6</v>
      </c>
      <c r="D27" s="3">
        <v>2.9503345790937502E-3</v>
      </c>
      <c r="E27" s="23"/>
      <c r="F27" s="19"/>
    </row>
    <row r="28" spans="1:6" x14ac:dyDescent="0.3">
      <c r="A28" s="22"/>
      <c r="B28" s="22"/>
      <c r="C28" s="1">
        <v>7</v>
      </c>
      <c r="D28" s="3">
        <v>2.98048783775874E-3</v>
      </c>
      <c r="E28" s="23"/>
      <c r="F28" s="19"/>
    </row>
    <row r="29" spans="1:6" x14ac:dyDescent="0.3">
      <c r="A29" s="22"/>
      <c r="B29" s="22"/>
      <c r="C29" s="1">
        <v>8</v>
      </c>
      <c r="D29" s="3">
        <v>3.0004543275332801E-3</v>
      </c>
      <c r="E29" s="23"/>
      <c r="F29" s="19"/>
    </row>
    <row r="30" spans="1:6" x14ac:dyDescent="0.3">
      <c r="A30" s="22"/>
      <c r="B30" s="22"/>
      <c r="C30" s="1">
        <v>9</v>
      </c>
      <c r="D30" s="3">
        <v>2.99082732798791E-3</v>
      </c>
      <c r="E30" s="23"/>
      <c r="F30" s="19"/>
    </row>
    <row r="31" spans="1:6" x14ac:dyDescent="0.3">
      <c r="A31" s="22"/>
      <c r="B31" s="22"/>
      <c r="C31" s="1">
        <v>10</v>
      </c>
      <c r="D31" s="3">
        <v>2.9956675897422598E-3</v>
      </c>
      <c r="E31" s="23"/>
      <c r="F31" s="19"/>
    </row>
    <row r="32" spans="1:6" x14ac:dyDescent="0.3">
      <c r="A32" s="22"/>
      <c r="B32" s="22"/>
      <c r="C32" s="1">
        <v>11</v>
      </c>
      <c r="D32" s="3">
        <v>2.9310222701132102E-3</v>
      </c>
      <c r="E32" s="23"/>
      <c r="F32" s="19"/>
    </row>
    <row r="33" spans="1:6" x14ac:dyDescent="0.3">
      <c r="A33" s="22"/>
      <c r="B33" s="22"/>
      <c r="C33" s="1">
        <v>12</v>
      </c>
      <c r="D33" s="3">
        <v>2.95895775653532E-3</v>
      </c>
      <c r="E33" s="23"/>
      <c r="F33" s="19"/>
    </row>
    <row r="34" spans="1:6" x14ac:dyDescent="0.3">
      <c r="A34" s="22"/>
      <c r="B34" s="22"/>
      <c r="C34" s="1">
        <v>13</v>
      </c>
      <c r="D34" s="3">
        <v>2.9080186123031601E-3</v>
      </c>
      <c r="E34" s="23"/>
      <c r="F34" s="19"/>
    </row>
    <row r="35" spans="1:6" x14ac:dyDescent="0.3">
      <c r="A35" s="22"/>
      <c r="B35" s="22"/>
      <c r="C35" s="1">
        <v>14</v>
      </c>
      <c r="D35" s="3">
        <v>2.9976445820983802E-3</v>
      </c>
      <c r="E35" s="23"/>
      <c r="F35" s="19"/>
    </row>
    <row r="36" spans="1:6" x14ac:dyDescent="0.3">
      <c r="A36" s="22"/>
      <c r="B36" s="22"/>
      <c r="C36" s="1">
        <v>15</v>
      </c>
      <c r="D36" s="3">
        <v>2.99135301031846E-3</v>
      </c>
      <c r="E36" s="23"/>
      <c r="F36" s="19"/>
    </row>
    <row r="37" spans="1:6" x14ac:dyDescent="0.3">
      <c r="A37" s="22"/>
      <c r="B37" s="22"/>
      <c r="C37" s="1">
        <v>16</v>
      </c>
      <c r="D37" s="3">
        <v>2.93944217966751E-3</v>
      </c>
      <c r="E37" s="23"/>
      <c r="F37" s="19"/>
    </row>
    <row r="38" spans="1:6" x14ac:dyDescent="0.3">
      <c r="A38" s="22"/>
      <c r="B38" s="22"/>
      <c r="C38" s="1">
        <v>17</v>
      </c>
      <c r="D38" s="3">
        <v>2.9805237852297598E-3</v>
      </c>
      <c r="E38" s="23"/>
      <c r="F38" s="19"/>
    </row>
    <row r="39" spans="1:6" x14ac:dyDescent="0.3">
      <c r="A39" s="22"/>
      <c r="B39" s="22"/>
      <c r="C39" s="1">
        <v>18</v>
      </c>
      <c r="D39" s="3">
        <v>2.9734151550055402E-3</v>
      </c>
      <c r="E39" s="23"/>
      <c r="F39" s="19"/>
    </row>
    <row r="40" spans="1:6" x14ac:dyDescent="0.3">
      <c r="A40" s="22"/>
      <c r="B40" s="22"/>
      <c r="C40" s="1">
        <v>19</v>
      </c>
      <c r="D40" s="3">
        <v>2.9515519908248598E-3</v>
      </c>
      <c r="E40" s="23"/>
      <c r="F40" s="19"/>
    </row>
    <row r="41" spans="1:6" x14ac:dyDescent="0.3">
      <c r="A41" s="22"/>
      <c r="B41" s="22"/>
      <c r="C41" s="1">
        <v>20</v>
      </c>
      <c r="D41" s="3">
        <v>3.0073378904877201E-3</v>
      </c>
      <c r="E41" s="23"/>
      <c r="F41" s="20"/>
    </row>
    <row r="42" spans="1:6" x14ac:dyDescent="0.3">
      <c r="A42" s="22" t="s">
        <v>7</v>
      </c>
      <c r="B42" s="22" t="s">
        <v>20</v>
      </c>
      <c r="C42" s="1">
        <v>1</v>
      </c>
      <c r="D42" s="3">
        <v>2.9645603213727602E-3</v>
      </c>
      <c r="E42" s="23">
        <f>AVERAGE(D42:D61)</f>
        <v>2.9732065291103301E-3</v>
      </c>
      <c r="F42" s="18">
        <f>AVERAGE(D42,D44:D47,D49,D51,D55,D58,D60)</f>
        <v>2.9511983511135709E-3</v>
      </c>
    </row>
    <row r="43" spans="1:6" x14ac:dyDescent="0.3">
      <c r="A43" s="22"/>
      <c r="B43" s="22"/>
      <c r="C43" s="1">
        <v>2</v>
      </c>
      <c r="D43" s="3">
        <v>2.98719720091428E-3</v>
      </c>
      <c r="E43" s="23"/>
      <c r="F43" s="19"/>
    </row>
    <row r="44" spans="1:6" x14ac:dyDescent="0.3">
      <c r="A44" s="22"/>
      <c r="B44" s="22"/>
      <c r="C44" s="1">
        <v>3</v>
      </c>
      <c r="D44" s="3">
        <v>2.95059546374061E-3</v>
      </c>
      <c r="E44" s="23"/>
      <c r="F44" s="19"/>
    </row>
    <row r="45" spans="1:6" x14ac:dyDescent="0.3">
      <c r="A45" s="22"/>
      <c r="B45" s="22"/>
      <c r="C45" s="1">
        <v>4</v>
      </c>
      <c r="D45" s="3">
        <v>2.95332224000644E-3</v>
      </c>
      <c r="E45" s="23"/>
      <c r="F45" s="19"/>
    </row>
    <row r="46" spans="1:6" x14ac:dyDescent="0.3">
      <c r="A46" s="22"/>
      <c r="B46" s="22"/>
      <c r="C46" s="1">
        <v>5</v>
      </c>
      <c r="D46" s="3">
        <v>2.9326702319878999E-3</v>
      </c>
      <c r="E46" s="23"/>
      <c r="F46" s="19"/>
    </row>
    <row r="47" spans="1:6" x14ac:dyDescent="0.3">
      <c r="A47" s="22"/>
      <c r="B47" s="22"/>
      <c r="C47" s="1">
        <v>6</v>
      </c>
      <c r="D47" s="3">
        <v>2.9413346206857501E-3</v>
      </c>
      <c r="E47" s="23"/>
      <c r="F47" s="19"/>
    </row>
    <row r="48" spans="1:6" x14ac:dyDescent="0.3">
      <c r="A48" s="22"/>
      <c r="B48" s="22"/>
      <c r="C48" s="1">
        <v>7</v>
      </c>
      <c r="D48" s="3">
        <v>3.0173528517228399E-3</v>
      </c>
      <c r="E48" s="23"/>
      <c r="F48" s="19"/>
    </row>
    <row r="49" spans="1:6" x14ac:dyDescent="0.3">
      <c r="A49" s="22"/>
      <c r="B49" s="22"/>
      <c r="C49" s="1">
        <v>8</v>
      </c>
      <c r="D49" s="3">
        <v>2.94944032255649E-3</v>
      </c>
      <c r="E49" s="23"/>
      <c r="F49" s="19"/>
    </row>
    <row r="50" spans="1:6" x14ac:dyDescent="0.3">
      <c r="A50" s="22"/>
      <c r="B50" s="22"/>
      <c r="C50" s="1">
        <v>9</v>
      </c>
      <c r="D50" s="3">
        <v>2.9929636587451899E-3</v>
      </c>
      <c r="E50" s="23"/>
      <c r="F50" s="19"/>
    </row>
    <row r="51" spans="1:6" x14ac:dyDescent="0.3">
      <c r="A51" s="22"/>
      <c r="B51" s="22"/>
      <c r="C51" s="1">
        <v>10</v>
      </c>
      <c r="D51" s="3">
        <v>2.9677695656245302E-3</v>
      </c>
      <c r="E51" s="23"/>
      <c r="F51" s="19"/>
    </row>
    <row r="52" spans="1:6" x14ac:dyDescent="0.3">
      <c r="A52" s="22"/>
      <c r="B52" s="22"/>
      <c r="C52" s="1">
        <v>11</v>
      </c>
      <c r="D52" s="3">
        <v>2.9917128136115099E-3</v>
      </c>
      <c r="E52" s="23"/>
      <c r="F52" s="19"/>
    </row>
    <row r="53" spans="1:6" x14ac:dyDescent="0.3">
      <c r="A53" s="22"/>
      <c r="B53" s="22"/>
      <c r="C53" s="1">
        <v>12</v>
      </c>
      <c r="D53" s="3">
        <v>3.0124680132109002E-3</v>
      </c>
      <c r="E53" s="23"/>
      <c r="F53" s="19"/>
    </row>
    <row r="54" spans="1:6" x14ac:dyDescent="0.3">
      <c r="A54" s="22"/>
      <c r="B54" s="22"/>
      <c r="C54" s="1">
        <v>13</v>
      </c>
      <c r="D54" s="3">
        <v>2.9856750520879001E-3</v>
      </c>
      <c r="E54" s="23"/>
      <c r="F54" s="19"/>
    </row>
    <row r="55" spans="1:6" x14ac:dyDescent="0.3">
      <c r="A55" s="22"/>
      <c r="B55" s="22"/>
      <c r="C55" s="1">
        <v>14</v>
      </c>
      <c r="D55" s="3">
        <v>2.97057733204853E-3</v>
      </c>
      <c r="E55" s="23"/>
      <c r="F55" s="19"/>
    </row>
    <row r="56" spans="1:6" x14ac:dyDescent="0.3">
      <c r="A56" s="22"/>
      <c r="B56" s="22"/>
      <c r="C56" s="1">
        <v>15</v>
      </c>
      <c r="D56" s="3">
        <v>2.9823883275159999E-3</v>
      </c>
      <c r="E56" s="23"/>
      <c r="F56" s="19"/>
    </row>
    <row r="57" spans="1:6" x14ac:dyDescent="0.3">
      <c r="A57" s="22"/>
      <c r="B57" s="22"/>
      <c r="C57" s="1">
        <v>16</v>
      </c>
      <c r="D57" s="3">
        <v>2.9804566382339499E-3</v>
      </c>
      <c r="E57" s="23"/>
      <c r="F57" s="19"/>
    </row>
    <row r="58" spans="1:6" x14ac:dyDescent="0.3">
      <c r="A58" s="22"/>
      <c r="B58" s="22"/>
      <c r="C58" s="1">
        <v>17</v>
      </c>
      <c r="D58" s="3">
        <v>2.93516884069206E-3</v>
      </c>
      <c r="E58" s="23"/>
      <c r="F58" s="19"/>
    </row>
    <row r="59" spans="1:6" x14ac:dyDescent="0.3">
      <c r="A59" s="22"/>
      <c r="B59" s="22"/>
      <c r="C59" s="1">
        <v>18</v>
      </c>
      <c r="D59" s="3">
        <v>3.00060505017753E-3</v>
      </c>
      <c r="E59" s="23"/>
      <c r="F59" s="19"/>
    </row>
    <row r="60" spans="1:6" x14ac:dyDescent="0.3">
      <c r="A60" s="22"/>
      <c r="B60" s="22"/>
      <c r="C60" s="1">
        <v>19</v>
      </c>
      <c r="D60" s="3">
        <v>2.9465445724206401E-3</v>
      </c>
      <c r="E60" s="23"/>
      <c r="F60" s="19"/>
    </row>
    <row r="61" spans="1:6" x14ac:dyDescent="0.3">
      <c r="A61" s="22"/>
      <c r="B61" s="22"/>
      <c r="C61" s="1">
        <v>20</v>
      </c>
      <c r="D61" s="3">
        <v>3.0013274648507901E-3</v>
      </c>
      <c r="E61" s="23"/>
      <c r="F61" s="20"/>
    </row>
    <row r="62" spans="1:6" x14ac:dyDescent="0.3">
      <c r="A62" s="22" t="s">
        <v>7</v>
      </c>
      <c r="B62" s="22" t="s">
        <v>21</v>
      </c>
      <c r="C62" s="1">
        <v>1</v>
      </c>
      <c r="D62" s="3">
        <v>2.6663300372717401E-3</v>
      </c>
      <c r="E62" s="23">
        <f>AVERAGE(D62:D81)</f>
        <v>2.7896738334753659E-3</v>
      </c>
      <c r="F62" s="18">
        <f>AVERAGE(D62:D63,D65,D69,D72,D77:D81)</f>
        <v>2.5607015043858329E-3</v>
      </c>
    </row>
    <row r="63" spans="1:6" x14ac:dyDescent="0.3">
      <c r="A63" s="22"/>
      <c r="B63" s="22"/>
      <c r="C63" s="1">
        <v>2</v>
      </c>
      <c r="D63" s="3">
        <v>2.59905012369716E-3</v>
      </c>
      <c r="E63" s="23"/>
      <c r="F63" s="19"/>
    </row>
    <row r="64" spans="1:6" x14ac:dyDescent="0.3">
      <c r="A64" s="22"/>
      <c r="B64" s="22"/>
      <c r="C64" s="1">
        <v>3</v>
      </c>
      <c r="D64" s="3">
        <v>3.4624252920788801E-3</v>
      </c>
      <c r="E64" s="23"/>
      <c r="F64" s="19"/>
    </row>
    <row r="65" spans="1:6" x14ac:dyDescent="0.3">
      <c r="A65" s="22"/>
      <c r="B65" s="22"/>
      <c r="C65" s="1">
        <v>4</v>
      </c>
      <c r="D65" s="3">
        <v>2.5097178740340698E-3</v>
      </c>
      <c r="E65" s="23"/>
      <c r="F65" s="19"/>
    </row>
    <row r="66" spans="1:6" x14ac:dyDescent="0.3">
      <c r="A66" s="22"/>
      <c r="B66" s="22"/>
      <c r="C66" s="1">
        <v>5</v>
      </c>
      <c r="D66" s="3">
        <v>3.0225800040082199E-3</v>
      </c>
      <c r="E66" s="23"/>
      <c r="F66" s="19"/>
    </row>
    <row r="67" spans="1:6" x14ac:dyDescent="0.3">
      <c r="A67" s="22"/>
      <c r="B67" s="22"/>
      <c r="C67" s="1">
        <v>6</v>
      </c>
      <c r="D67" s="3">
        <v>3.0266007138633798E-3</v>
      </c>
      <c r="E67" s="23"/>
      <c r="F67" s="19"/>
    </row>
    <row r="68" spans="1:6" x14ac:dyDescent="0.3">
      <c r="A68" s="22"/>
      <c r="B68" s="22"/>
      <c r="C68" s="1">
        <v>7</v>
      </c>
      <c r="D68" s="3">
        <v>2.79122830701259E-3</v>
      </c>
      <c r="E68" s="23"/>
      <c r="F68" s="19"/>
    </row>
    <row r="69" spans="1:6" x14ac:dyDescent="0.3">
      <c r="A69" s="22"/>
      <c r="B69" s="22"/>
      <c r="C69" s="1">
        <v>8</v>
      </c>
      <c r="D69" s="3">
        <v>2.7796922586795802E-3</v>
      </c>
      <c r="E69" s="23"/>
      <c r="F69" s="19"/>
    </row>
    <row r="70" spans="1:6" x14ac:dyDescent="0.3">
      <c r="A70" s="22"/>
      <c r="B70" s="22"/>
      <c r="C70" s="1">
        <v>9</v>
      </c>
      <c r="D70" s="3">
        <v>2.7997777888741902E-3</v>
      </c>
      <c r="E70" s="23"/>
      <c r="F70" s="19"/>
    </row>
    <row r="71" spans="1:6" x14ac:dyDescent="0.3">
      <c r="A71" s="22"/>
      <c r="B71" s="22"/>
      <c r="C71" s="1">
        <v>10</v>
      </c>
      <c r="D71" s="3">
        <v>3.1368584767554899E-3</v>
      </c>
      <c r="E71" s="23"/>
      <c r="F71" s="19"/>
    </row>
    <row r="72" spans="1:6" x14ac:dyDescent="0.3">
      <c r="A72" s="22"/>
      <c r="B72" s="22"/>
      <c r="C72" s="1">
        <v>11</v>
      </c>
      <c r="D72" s="3">
        <v>2.7142966274309099E-3</v>
      </c>
      <c r="E72" s="23"/>
      <c r="F72" s="19"/>
    </row>
    <row r="73" spans="1:6" x14ac:dyDescent="0.3">
      <c r="A73" s="22"/>
      <c r="B73" s="22"/>
      <c r="C73" s="1">
        <v>12</v>
      </c>
      <c r="D73" s="3">
        <v>2.9708859179661501E-3</v>
      </c>
      <c r="E73" s="23"/>
      <c r="F73" s="19"/>
    </row>
    <row r="74" spans="1:6" x14ac:dyDescent="0.3">
      <c r="A74" s="22"/>
      <c r="B74" s="22"/>
      <c r="C74" s="1">
        <v>13</v>
      </c>
      <c r="D74" s="3">
        <v>2.8887053000321702E-3</v>
      </c>
      <c r="E74" s="23"/>
      <c r="F74" s="19"/>
    </row>
    <row r="75" spans="1:6" x14ac:dyDescent="0.3">
      <c r="A75" s="22"/>
      <c r="B75" s="22"/>
      <c r="C75" s="1">
        <v>14</v>
      </c>
      <c r="D75" s="3">
        <v>3.0738876597334701E-3</v>
      </c>
      <c r="E75" s="23"/>
      <c r="F75" s="19"/>
    </row>
    <row r="76" spans="1:6" x14ac:dyDescent="0.3">
      <c r="A76" s="22"/>
      <c r="B76" s="22"/>
      <c r="C76" s="1">
        <v>15</v>
      </c>
      <c r="D76" s="3">
        <v>3.0135121653244602E-3</v>
      </c>
      <c r="E76" s="23"/>
      <c r="F76" s="19"/>
    </row>
    <row r="77" spans="1:6" x14ac:dyDescent="0.3">
      <c r="A77" s="22"/>
      <c r="B77" s="22"/>
      <c r="C77" s="1">
        <v>16</v>
      </c>
      <c r="D77" s="3">
        <v>2.4791097531156698E-3</v>
      </c>
      <c r="E77" s="23"/>
      <c r="F77" s="19"/>
    </row>
    <row r="78" spans="1:6" x14ac:dyDescent="0.3">
      <c r="A78" s="22"/>
      <c r="B78" s="22"/>
      <c r="C78" s="1">
        <v>17</v>
      </c>
      <c r="D78" s="3">
        <v>2.5743577200085998E-3</v>
      </c>
      <c r="E78" s="23"/>
      <c r="F78" s="19"/>
    </row>
    <row r="79" spans="1:6" x14ac:dyDescent="0.3">
      <c r="A79" s="22"/>
      <c r="B79" s="22"/>
      <c r="C79" s="1">
        <v>18</v>
      </c>
      <c r="D79" s="3">
        <v>2.34919926707529E-3</v>
      </c>
      <c r="E79" s="23"/>
      <c r="F79" s="19"/>
    </row>
    <row r="80" spans="1:6" x14ac:dyDescent="0.3">
      <c r="A80" s="22"/>
      <c r="B80" s="22"/>
      <c r="C80" s="1">
        <v>19</v>
      </c>
      <c r="D80" s="3">
        <v>2.2012674333734199E-3</v>
      </c>
      <c r="E80" s="23"/>
      <c r="F80" s="19"/>
    </row>
    <row r="81" spans="1:6" x14ac:dyDescent="0.3">
      <c r="A81" s="22"/>
      <c r="B81" s="22"/>
      <c r="C81" s="1">
        <v>20</v>
      </c>
      <c r="D81" s="3">
        <v>2.7339939491718901E-3</v>
      </c>
      <c r="E81" s="23"/>
      <c r="F81" s="20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21">
    <cfRule type="top10" dxfId="7" priority="8" rank="10"/>
  </conditionalFormatting>
  <conditionalFormatting sqref="D22:D41">
    <cfRule type="top10" dxfId="6" priority="7" rank="10"/>
  </conditionalFormatting>
  <conditionalFormatting sqref="D42:D61">
    <cfRule type="top10" dxfId="5" priority="6" bottom="1" rank="10"/>
  </conditionalFormatting>
  <conditionalFormatting sqref="D62:D81">
    <cfRule type="top10" dxfId="4" priority="5" bottom="1" rank="10"/>
  </conditionalFormatting>
  <conditionalFormatting sqref="F2">
    <cfRule type="top10" dxfId="3" priority="4" rank="10"/>
  </conditionalFormatting>
  <conditionalFormatting sqref="F22">
    <cfRule type="top10" dxfId="2" priority="3" rank="10"/>
  </conditionalFormatting>
  <conditionalFormatting sqref="F42">
    <cfRule type="top10" dxfId="1" priority="2" bottom="1" rank="10"/>
  </conditionalFormatting>
  <conditionalFormatting sqref="F62">
    <cfRule type="top10" dxfId="0" priority="1" bottom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capa</vt:lpstr>
      <vt:lpstr>Activity-16-08</vt:lpstr>
      <vt:lpstr>Activity-32-16</vt:lpstr>
      <vt:lpstr>Activity-64-08</vt:lpstr>
      <vt:lpstr>Age-16-08</vt:lpstr>
      <vt:lpstr>Age-32-16</vt:lpstr>
      <vt:lpstr>Age-64-08</vt:lpstr>
      <vt:lpstr>Gender-16-08</vt:lpstr>
      <vt:lpstr>Gender-32-16</vt:lpstr>
      <vt:lpstr>Gender-64-08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2024-11-21T19:37:16Z</dcterms:modified>
</cp:coreProperties>
</file>